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rmandslabbertbuchanan_icloudgmail/Downloads/"/>
    </mc:Choice>
  </mc:AlternateContent>
  <xr:revisionPtr revIDLastSave="0" documentId="13_ncr:1_{B5A27D6A-50FF-9F4B-A52E-EFC7B4BFB606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JAN26" sheetId="1" r:id="rId1"/>
    <sheet name="FEB26" sheetId="2" r:id="rId2"/>
    <sheet name="MAR26" sheetId="3" r:id="rId3"/>
    <sheet name="APR26" sheetId="4" r:id="rId4"/>
    <sheet name="MAY26" sheetId="5" r:id="rId5"/>
    <sheet name="JUN26" sheetId="6" r:id="rId6"/>
    <sheet name="JUL26" sheetId="7" r:id="rId7"/>
    <sheet name="AUG26" sheetId="8" r:id="rId8"/>
    <sheet name="SEP26" sheetId="9" r:id="rId9"/>
    <sheet name="OCT26" sheetId="10" r:id="rId10"/>
    <sheet name="NOV26" sheetId="11" r:id="rId11"/>
    <sheet name="DEC26" sheetId="12" r:id="rId12"/>
  </sheets>
  <definedNames>
    <definedName name="TotalMonthlyExpenses" localSheetId="3">SUM(#REF!)</definedName>
    <definedName name="TotalMonthlyExpenses" localSheetId="1">SUM(#REF!)</definedName>
    <definedName name="TotalMonthlyExpenses" localSheetId="0">SUM(#REF!)</definedName>
    <definedName name="TotalMonthlyExpenses" localSheetId="6">SUM(#REF!)</definedName>
    <definedName name="TotalMonthlyExpenses" localSheetId="5">SUM(#REF!)</definedName>
    <definedName name="TotalMonthlyExpenses" localSheetId="2">SUM(#REF!)</definedName>
    <definedName name="TotalMonthlyExpenses" localSheetId="4">SUM(#REF!)</definedName>
    <definedName name="TotalMonthlyExpenses" localSheetId="10">SUM(#REF!)</definedName>
    <definedName name="TotalMonthlyExpenses" localSheetId="9">SUM(#REF!)</definedName>
    <definedName name="TotalMonthlyExpenses" localSheetId="8">SUM(#REF!)</definedName>
    <definedName name="TotalMonthlyExpenses">SUM(#REF!)</definedName>
    <definedName name="TotalMonthlyIncome" localSheetId="3">SUM(#REF!)</definedName>
    <definedName name="TotalMonthlyIncome" localSheetId="1">SUM(#REF!)</definedName>
    <definedName name="TotalMonthlyIncome" localSheetId="0">SUM(#REF!)</definedName>
    <definedName name="TotalMonthlyIncome" localSheetId="6">SUM(#REF!)</definedName>
    <definedName name="TotalMonthlyIncome" localSheetId="5">SUM(#REF!)</definedName>
    <definedName name="TotalMonthlyIncome" localSheetId="2">SUM(#REF!)</definedName>
    <definedName name="TotalMonthlyIncome" localSheetId="4">SUM(#REF!)</definedName>
    <definedName name="TotalMonthlyIncome" localSheetId="10">SUM(#REF!)</definedName>
    <definedName name="TotalMonthlyIncome" localSheetId="9">SUM(#REF!)</definedName>
    <definedName name="TotalMonthlyIncome" localSheetId="8">SUM(#REF!)</definedName>
    <definedName name="TotalMonthlyIncome">SUM(#REF!)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wUiN8TIkv/xJY8ViZcGiQot9Yr9tJNlyvEI4eNicCpg="/>
    </ext>
  </extLst>
</workbook>
</file>

<file path=xl/calcChain.xml><?xml version="1.0" encoding="utf-8"?>
<calcChain xmlns="http://schemas.openxmlformats.org/spreadsheetml/2006/main">
  <c r="H8" i="12" l="1"/>
  <c r="H12" i="12" s="1"/>
  <c r="H8" i="11"/>
  <c r="H8" i="10"/>
  <c r="H8" i="9"/>
  <c r="H12" i="9" s="1"/>
  <c r="H8" i="8"/>
  <c r="H8" i="7"/>
  <c r="H12" i="7" s="1"/>
  <c r="H8" i="6"/>
  <c r="H12" i="6" s="1"/>
  <c r="H10" i="5"/>
  <c r="H8" i="5"/>
  <c r="H10" i="4"/>
  <c r="H8" i="4"/>
  <c r="H10" i="3"/>
  <c r="H12" i="3" s="1"/>
  <c r="H8" i="3"/>
  <c r="C9" i="4"/>
  <c r="C17" i="4"/>
  <c r="C18" i="4"/>
  <c r="C20" i="4"/>
  <c r="C23" i="4"/>
  <c r="C24" i="4"/>
  <c r="C31" i="4"/>
  <c r="C36" i="4"/>
  <c r="C38" i="4"/>
  <c r="C38" i="1"/>
  <c r="C36" i="1"/>
  <c r="C24" i="1"/>
  <c r="C23" i="1"/>
  <c r="H10" i="1" s="1"/>
  <c r="C20" i="1"/>
  <c r="C18" i="1"/>
  <c r="C17" i="1"/>
  <c r="C9" i="1"/>
  <c r="H8" i="1" s="1"/>
  <c r="H12" i="1" s="1"/>
  <c r="H8" i="2"/>
  <c r="C38" i="3"/>
  <c r="C36" i="3"/>
  <c r="C31" i="3"/>
  <c r="C24" i="3"/>
  <c r="C23" i="3"/>
  <c r="C20" i="3"/>
  <c r="C18" i="3"/>
  <c r="C17" i="3"/>
  <c r="C9" i="3"/>
  <c r="C38" i="5"/>
  <c r="C36" i="5"/>
  <c r="C31" i="5"/>
  <c r="C24" i="5"/>
  <c r="C23" i="5"/>
  <c r="C20" i="5"/>
  <c r="C18" i="5"/>
  <c r="C17" i="5"/>
  <c r="C9" i="5"/>
  <c r="C38" i="6"/>
  <c r="C36" i="6"/>
  <c r="C31" i="6"/>
  <c r="C24" i="6"/>
  <c r="C23" i="6"/>
  <c r="C20" i="6"/>
  <c r="C18" i="6"/>
  <c r="C17" i="6"/>
  <c r="H10" i="6"/>
  <c r="C9" i="6"/>
  <c r="C38" i="7"/>
  <c r="C36" i="7"/>
  <c r="C31" i="7"/>
  <c r="C24" i="7"/>
  <c r="C23" i="7"/>
  <c r="C20" i="7"/>
  <c r="C18" i="7"/>
  <c r="C17" i="7"/>
  <c r="H10" i="7"/>
  <c r="C9" i="7"/>
  <c r="C38" i="8"/>
  <c r="C36" i="8"/>
  <c r="C31" i="8"/>
  <c r="C24" i="8"/>
  <c r="C23" i="8"/>
  <c r="C20" i="8"/>
  <c r="C18" i="8"/>
  <c r="C17" i="8"/>
  <c r="H10" i="8" s="1"/>
  <c r="C9" i="8"/>
  <c r="C38" i="9"/>
  <c r="C36" i="9"/>
  <c r="C31" i="9"/>
  <c r="C24" i="9"/>
  <c r="C23" i="9"/>
  <c r="C20" i="9"/>
  <c r="C18" i="9"/>
  <c r="C17" i="9"/>
  <c r="H10" i="9"/>
  <c r="C9" i="9"/>
  <c r="C38" i="10"/>
  <c r="C36" i="10"/>
  <c r="C31" i="10"/>
  <c r="C24" i="10"/>
  <c r="C23" i="10"/>
  <c r="C20" i="10"/>
  <c r="C18" i="10"/>
  <c r="C17" i="10"/>
  <c r="H10" i="10"/>
  <c r="C9" i="10"/>
  <c r="C38" i="11"/>
  <c r="C36" i="11"/>
  <c r="C31" i="11"/>
  <c r="C24" i="11"/>
  <c r="C23" i="11"/>
  <c r="C20" i="11"/>
  <c r="C18" i="11"/>
  <c r="C17" i="11"/>
  <c r="H10" i="11" s="1"/>
  <c r="H4" i="11" s="1"/>
  <c r="C9" i="11"/>
  <c r="C38" i="12"/>
  <c r="C36" i="12"/>
  <c r="C31" i="12"/>
  <c r="C24" i="12"/>
  <c r="C23" i="12"/>
  <c r="C20" i="12"/>
  <c r="C18" i="12"/>
  <c r="C17" i="12"/>
  <c r="H10" i="12"/>
  <c r="C9" i="12"/>
  <c r="C38" i="2"/>
  <c r="C36" i="2"/>
  <c r="C24" i="2"/>
  <c r="C23" i="2"/>
  <c r="C20" i="2"/>
  <c r="C18" i="2"/>
  <c r="C17" i="2"/>
  <c r="H10" i="2"/>
  <c r="C9" i="2"/>
  <c r="H4" i="8" l="1"/>
  <c r="H12" i="4"/>
  <c r="H4" i="1"/>
  <c r="H4" i="12"/>
  <c r="H4" i="9"/>
  <c r="H4" i="6"/>
  <c r="H4" i="5"/>
  <c r="H4" i="7"/>
  <c r="H4" i="4"/>
  <c r="H12" i="10"/>
  <c r="H4" i="3"/>
  <c r="H4" i="2"/>
  <c r="H12" i="2"/>
  <c r="H12" i="5"/>
  <c r="H12" i="8"/>
  <c r="H4" i="10"/>
  <c r="H12" i="11"/>
</calcChain>
</file>

<file path=xl/sharedStrings.xml><?xml version="1.0" encoding="utf-8"?>
<sst xmlns="http://schemas.openxmlformats.org/spreadsheetml/2006/main" count="914" uniqueCount="45">
  <si>
    <t>MONTHLY INCOME</t>
  </si>
  <si>
    <t>PERCENTAGE OF INCOME SPENT</t>
  </si>
  <si>
    <t>A</t>
  </si>
  <si>
    <t>A&amp;W</t>
  </si>
  <si>
    <t>W</t>
  </si>
  <si>
    <t>L</t>
  </si>
  <si>
    <t>Item</t>
  </si>
  <si>
    <t>Amount</t>
  </si>
  <si>
    <t>SUMMARY</t>
  </si>
  <si>
    <t>Income 1 - Titan</t>
  </si>
  <si>
    <t>a</t>
  </si>
  <si>
    <t>Total Monthly Income</t>
  </si>
  <si>
    <t>Income 2 - Funky</t>
  </si>
  <si>
    <t>Total Monthly Expenses</t>
  </si>
  <si>
    <t>Income 4 - Other</t>
  </si>
  <si>
    <t>BALANCE</t>
  </si>
  <si>
    <t>MONTHLY EXPENSES</t>
  </si>
  <si>
    <t>FNB - RL</t>
  </si>
  <si>
    <t>FNB - CC</t>
  </si>
  <si>
    <t>Bank charges</t>
  </si>
  <si>
    <t>Streaming devices</t>
  </si>
  <si>
    <t>Vodacom</t>
  </si>
  <si>
    <t>Disc - Medical</t>
  </si>
  <si>
    <t>Disc - Insurance</t>
  </si>
  <si>
    <t>Disc - Life Insurance</t>
  </si>
  <si>
    <t>Disc - CC Charges</t>
  </si>
  <si>
    <t>Rent</t>
  </si>
  <si>
    <t>Rates &amp; taxes</t>
  </si>
  <si>
    <t>Electricity</t>
  </si>
  <si>
    <t xml:space="preserve">Apple watch </t>
  </si>
  <si>
    <t>Food &amp; Kids food</t>
  </si>
  <si>
    <t>Home Care</t>
  </si>
  <si>
    <t xml:space="preserve">Home Cleaning </t>
  </si>
  <si>
    <t>Health Care</t>
  </si>
  <si>
    <t>Retirement fund</t>
  </si>
  <si>
    <t>Spending</t>
  </si>
  <si>
    <t xml:space="preserve">Direct Investment </t>
  </si>
  <si>
    <t>FI Operations</t>
  </si>
  <si>
    <t>Vox</t>
  </si>
  <si>
    <t>Bus &amp; uber</t>
  </si>
  <si>
    <t>r</t>
  </si>
  <si>
    <t>.</t>
  </si>
  <si>
    <t>Income 3 - Bbert</t>
  </si>
  <si>
    <t>Savings</t>
  </si>
  <si>
    <t>Income 1 - 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</si>
</sst>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R-1C09]\ * #,##0.00_ ;_ [$R-1C09]\ * \-#,##0.00_ ;_ [$R-1C09]\ * &quot;-&quot;??_ ;_ @_ "/>
  </numFmts>
  <fonts count="13" x14ac:knownFonts="1">
    <font>
      <sz val="10"/>
      <color rgb="FF0C0C0C"/>
      <name val="Century Gothic"/>
      <scheme val="minor"/>
    </font>
    <font>
      <sz val="10"/>
      <color rgb="FF0C0C0C"/>
      <name val="Century Gothic"/>
      <family val="1"/>
    </font>
    <font>
      <b/>
      <sz val="11"/>
      <color theme="0"/>
      <name val="Century Gothic"/>
      <family val="1"/>
    </font>
    <font>
      <sz val="10"/>
      <name val="Century Gothic"/>
      <family val="1"/>
    </font>
    <font>
      <b/>
      <sz val="11"/>
      <color rgb="FF3A3A3A"/>
      <name val="Century Gothic"/>
      <family val="1"/>
    </font>
    <font>
      <sz val="10"/>
      <color theme="0"/>
      <name val="Century Gothic"/>
      <family val="1"/>
    </font>
    <font>
      <sz val="10"/>
      <color theme="1"/>
      <name val="Century Gothic"/>
      <family val="1"/>
      <scheme val="minor"/>
    </font>
    <font>
      <sz val="10"/>
      <color rgb="FF65ABB3"/>
      <name val="Century Gothic"/>
      <family val="1"/>
    </font>
    <font>
      <sz val="14"/>
      <color rgb="FF333333"/>
      <name val="Helvetica Neue"/>
      <family val="2"/>
    </font>
    <font>
      <sz val="10"/>
      <color rgb="FF0C0C0C"/>
      <name val="Century Gothic"/>
      <family val="1"/>
      <scheme val="minor"/>
    </font>
    <font>
      <sz val="10"/>
      <color rgb="FF0C0C0C"/>
      <name val="Webdings"/>
      <charset val="2"/>
    </font>
    <font>
      <b/>
      <sz val="11"/>
      <color theme="0"/>
      <name val="Webdings"/>
      <charset val="2"/>
    </font>
    <font>
      <b/>
      <sz val="10"/>
      <color rgb="FF008A3E"/>
      <name val="Webdings"/>
      <charset val="2"/>
    </font>
  </fonts>
  <fills count="6">
    <fill>
      <patternFill patternType="none"/>
    </fill>
    <fill>
      <patternFill patternType="gray125"/>
    </fill>
    <fill>
      <patternFill patternType="solid">
        <fgColor rgb="FF1F3C3F"/>
        <bgColor rgb="FF1F3C3F"/>
      </patternFill>
    </fill>
    <fill>
      <patternFill patternType="solid">
        <fgColor rgb="FF65ABB2"/>
        <bgColor rgb="FF65ABB2"/>
      </patternFill>
    </fill>
    <fill>
      <patternFill patternType="solid">
        <fgColor rgb="FFD8D8D8"/>
        <bgColor rgb="FFD8D8D8"/>
      </patternFill>
    </fill>
    <fill>
      <patternFill patternType="solid">
        <fgColor rgb="FF65ABB3"/>
        <bgColor rgb="FF65ABB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65ABB2"/>
      </bottom>
      <diagonal/>
    </border>
    <border>
      <left/>
      <right/>
      <top style="medium">
        <color rgb="FF65ABB2"/>
      </top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9" fontId="7" fillId="0" borderId="0" xfId="0" applyNumberFormat="1" applyFont="1" applyAlignment="1">
      <alignment horizontal="center" vertical="top"/>
    </xf>
    <xf numFmtId="0" fontId="2" fillId="3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164" fontId="2" fillId="5" borderId="3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164" fontId="12" fillId="4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9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6"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ont>
        <strike val="0"/>
        <outline val="0"/>
        <shadow val="0"/>
        <u val="none"/>
        <vertAlign val="baseline"/>
        <name val="Webdings"/>
        <charset val="2"/>
        <scheme val="none"/>
      </font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  <dxf>
      <fill>
        <patternFill patternType="solid">
          <fgColor rgb="FFCBE3E5"/>
          <bgColor rgb="FFCBE3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5ABB2"/>
          <bgColor rgb="FF65ABB2"/>
        </patternFill>
      </fill>
    </dxf>
  </dxfs>
  <tableStyles count="24">
    <tableStyle name="JAN25-style" pivot="0" count="3" xr9:uid="{00000000-0011-0000-FFFF-FFFF00000000}">
      <tableStyleElement type="headerRow" dxfId="95"/>
      <tableStyleElement type="firstRowStripe" dxfId="94"/>
      <tableStyleElement type="secondRowStripe" dxfId="93"/>
    </tableStyle>
    <tableStyle name="JAN25-style 2" pivot="0" count="3" xr9:uid="{00000000-0011-0000-FFFF-FFFF01000000}">
      <tableStyleElement type="headerRow" dxfId="92"/>
      <tableStyleElement type="firstRowStripe" dxfId="91"/>
      <tableStyleElement type="secondRowStripe" dxfId="90"/>
    </tableStyle>
    <tableStyle name="FEB25-style" pivot="0" count="3" xr9:uid="{00000000-0011-0000-FFFF-FFFF02000000}">
      <tableStyleElement type="headerRow" dxfId="89"/>
      <tableStyleElement type="firstRowStripe" dxfId="88"/>
      <tableStyleElement type="secondRowStripe" dxfId="87"/>
    </tableStyle>
    <tableStyle name="FEB25-style 2" pivot="0" count="3" xr9:uid="{00000000-0011-0000-FFFF-FFFF03000000}">
      <tableStyleElement type="headerRow" dxfId="86"/>
      <tableStyleElement type="firstRowStripe" dxfId="85"/>
      <tableStyleElement type="secondRowStripe" dxfId="84"/>
    </tableStyle>
    <tableStyle name="MAR25-style" pivot="0" count="3" xr9:uid="{00000000-0011-0000-FFFF-FFFF04000000}">
      <tableStyleElement type="headerRow" dxfId="83"/>
      <tableStyleElement type="firstRowStripe" dxfId="82"/>
      <tableStyleElement type="secondRowStripe" dxfId="81"/>
    </tableStyle>
    <tableStyle name="MAR25-style 2" pivot="0" count="3" xr9:uid="{00000000-0011-0000-FFFF-FFFF05000000}">
      <tableStyleElement type="headerRow" dxfId="80"/>
      <tableStyleElement type="firstRowStripe" dxfId="79"/>
      <tableStyleElement type="secondRowStripe" dxfId="78"/>
    </tableStyle>
    <tableStyle name="APR25-style" pivot="0" count="3" xr9:uid="{00000000-0011-0000-FFFF-FFFF06000000}">
      <tableStyleElement type="headerRow" dxfId="77"/>
      <tableStyleElement type="firstRowStripe" dxfId="76"/>
      <tableStyleElement type="secondRowStripe" dxfId="75"/>
    </tableStyle>
    <tableStyle name="APR25-style 2" pivot="0" count="3" xr9:uid="{00000000-0011-0000-FFFF-FFFF07000000}">
      <tableStyleElement type="headerRow" dxfId="74"/>
      <tableStyleElement type="firstRowStripe" dxfId="73"/>
      <tableStyleElement type="secondRowStripe" dxfId="72"/>
    </tableStyle>
    <tableStyle name="MAY25-style" pivot="0" count="3" xr9:uid="{00000000-0011-0000-FFFF-FFFF08000000}">
      <tableStyleElement type="headerRow" dxfId="71"/>
      <tableStyleElement type="firstRowStripe" dxfId="70"/>
      <tableStyleElement type="secondRowStripe" dxfId="69"/>
    </tableStyle>
    <tableStyle name="MAY25-style 2" pivot="0" count="3" xr9:uid="{00000000-0011-0000-FFFF-FFFF09000000}">
      <tableStyleElement type="headerRow" dxfId="68"/>
      <tableStyleElement type="firstRowStripe" dxfId="67"/>
      <tableStyleElement type="secondRowStripe" dxfId="66"/>
    </tableStyle>
    <tableStyle name="JUN25-style" pivot="0" count="3" xr9:uid="{00000000-0011-0000-FFFF-FFFF0A000000}">
      <tableStyleElement type="headerRow" dxfId="65"/>
      <tableStyleElement type="firstRowStripe" dxfId="64"/>
      <tableStyleElement type="secondRowStripe" dxfId="63"/>
    </tableStyle>
    <tableStyle name="JUN25-style 2" pivot="0" count="3" xr9:uid="{00000000-0011-0000-FFFF-FFFF0B000000}">
      <tableStyleElement type="headerRow" dxfId="62"/>
      <tableStyleElement type="firstRowStripe" dxfId="61"/>
      <tableStyleElement type="secondRowStripe" dxfId="60"/>
    </tableStyle>
    <tableStyle name="JUL25-style" pivot="0" count="3" xr9:uid="{00000000-0011-0000-FFFF-FFFF0C000000}">
      <tableStyleElement type="headerRow" dxfId="59"/>
      <tableStyleElement type="firstRowStripe" dxfId="58"/>
      <tableStyleElement type="secondRowStripe" dxfId="57"/>
    </tableStyle>
    <tableStyle name="JUL25-style 2" pivot="0" count="3" xr9:uid="{00000000-0011-0000-FFFF-FFFF0D000000}">
      <tableStyleElement type="headerRow" dxfId="56"/>
      <tableStyleElement type="firstRowStripe" dxfId="55"/>
      <tableStyleElement type="secondRowStripe" dxfId="54"/>
    </tableStyle>
    <tableStyle name="AUG25-style" pivot="0" count="3" xr9:uid="{00000000-0011-0000-FFFF-FFFF0E000000}">
      <tableStyleElement type="headerRow" dxfId="53"/>
      <tableStyleElement type="firstRowStripe" dxfId="52"/>
      <tableStyleElement type="secondRowStripe" dxfId="51"/>
    </tableStyle>
    <tableStyle name="AUG25-style 2" pivot="0" count="3" xr9:uid="{00000000-0011-0000-FFFF-FFFF0F000000}">
      <tableStyleElement type="headerRow" dxfId="50"/>
      <tableStyleElement type="firstRowStripe" dxfId="49"/>
      <tableStyleElement type="secondRowStripe" dxfId="48"/>
    </tableStyle>
    <tableStyle name="SEP25-style" pivot="0" count="3" xr9:uid="{00000000-0011-0000-FFFF-FFFF10000000}">
      <tableStyleElement type="headerRow" dxfId="47"/>
      <tableStyleElement type="firstRowStripe" dxfId="46"/>
      <tableStyleElement type="secondRowStripe" dxfId="45"/>
    </tableStyle>
    <tableStyle name="SEP25-style 2" pivot="0" count="3" xr9:uid="{00000000-0011-0000-FFFF-FFFF11000000}">
      <tableStyleElement type="headerRow" dxfId="44"/>
      <tableStyleElement type="firstRowStripe" dxfId="43"/>
      <tableStyleElement type="secondRowStripe" dxfId="42"/>
    </tableStyle>
    <tableStyle name="OCT25-style" pivot="0" count="3" xr9:uid="{00000000-0011-0000-FFFF-FFFF12000000}">
      <tableStyleElement type="headerRow" dxfId="41"/>
      <tableStyleElement type="firstRowStripe" dxfId="40"/>
      <tableStyleElement type="secondRowStripe" dxfId="39"/>
    </tableStyle>
    <tableStyle name="OCT25-style 2" pivot="0" count="3" xr9:uid="{00000000-0011-0000-FFFF-FFFF13000000}">
      <tableStyleElement type="headerRow" dxfId="38"/>
      <tableStyleElement type="firstRowStripe" dxfId="37"/>
      <tableStyleElement type="secondRowStripe" dxfId="36"/>
    </tableStyle>
    <tableStyle name="NOV25-style" pivot="0" count="3" xr9:uid="{00000000-0011-0000-FFFF-FFFF14000000}">
      <tableStyleElement type="headerRow" dxfId="35"/>
      <tableStyleElement type="firstRowStripe" dxfId="34"/>
      <tableStyleElement type="secondRowStripe" dxfId="33"/>
    </tableStyle>
    <tableStyle name="NOV25-style 2" pivot="0" count="3" xr9:uid="{00000000-0011-0000-FFFF-FFFF15000000}">
      <tableStyleElement type="headerRow" dxfId="32"/>
      <tableStyleElement type="firstRowStripe" dxfId="31"/>
      <tableStyleElement type="secondRowStripe" dxfId="30"/>
    </tableStyle>
    <tableStyle name="DEC25-style" pivot="0" count="3" xr9:uid="{00000000-0011-0000-FFFF-FFFF16000000}">
      <tableStyleElement type="headerRow" dxfId="29"/>
      <tableStyleElement type="firstRowStripe" dxfId="28"/>
      <tableStyleElement type="secondRowStripe" dxfId="27"/>
    </tableStyle>
    <tableStyle name="DEC25-style 2" pivot="0" count="3" xr9:uid="{00000000-0011-0000-FFFF-FFFF17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90-EE4C-9C82-776A8FC13813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0-EE4C-9C82-776A8FC13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F6-934B-9789-9E0F87B3DED1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6-934B-9789-9E0F87B3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3F-9F4B-B094-FBB825AA3886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F-9F4B-B094-FBB825AA3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7-9343-86AE-AC8D42255CA7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7-9343-86AE-AC8D42255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688916"/>
        <c:axId val="960827953"/>
      </c:barChart>
      <c:catAx>
        <c:axId val="82688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0827953"/>
        <c:crosses val="autoZero"/>
        <c:auto val="1"/>
        <c:lblAlgn val="ctr"/>
        <c:lblOffset val="100"/>
        <c:noMultiLvlLbl val="1"/>
      </c:catAx>
      <c:valAx>
        <c:axId val="960827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6889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90-BF41-9A62-D9164E535DF4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0-BF41-9A62-D9164E535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5127818"/>
        <c:axId val="232458126"/>
      </c:barChart>
      <c:catAx>
        <c:axId val="655127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2458126"/>
        <c:crosses val="autoZero"/>
        <c:auto val="1"/>
        <c:lblAlgn val="ctr"/>
        <c:lblOffset val="100"/>
        <c:noMultiLvlLbl val="1"/>
      </c:catAx>
      <c:valAx>
        <c:axId val="232458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512781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DE-0043-AAB8-A976C214BF82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E-0043-AAB8-A976C214B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37-D944-9ED7-9670BF0CA938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7-D944-9ED7-9670BF0CA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80-9941-A744-345DC71A54E3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0-9941-A744-345DC71A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AC-6D46-B5E3-76A586AA3B4E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C-6D46-B5E3-76A586AA3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A6-8D4E-8B38-21FC1A17684F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6-8D4E-8B38-21FC1A176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46-5D4F-8C7B-78C65E9D92C3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6-5D4F-8C7B-78C65E9D9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382251"/>
        <c:axId val="992461463"/>
      </c:barChart>
      <c:catAx>
        <c:axId val="748382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2461463"/>
        <c:crosses val="autoZero"/>
        <c:auto val="1"/>
        <c:lblAlgn val="ctr"/>
        <c:lblOffset val="100"/>
        <c:noMultiLvlLbl val="1"/>
      </c:catAx>
      <c:valAx>
        <c:axId val="992461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83822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CE-CD4D-A8D0-31D1A8BEC2C3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E-CD4D-A8D0-31D1A8BE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22562"/>
        <c:axId val="240189467"/>
      </c:barChart>
      <c:catAx>
        <c:axId val="935222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189467"/>
        <c:crosses val="autoZero"/>
        <c:auto val="1"/>
        <c:lblAlgn val="ctr"/>
        <c:lblOffset val="100"/>
        <c:noMultiLvlLbl val="1"/>
      </c:catAx>
      <c:valAx>
        <c:axId val="240189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522256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3A-F94A-A0A9-416EDD38B97D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A-F94A-A0A9-416EDD38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20-314B-AF31-8EE3B31B71B9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0-314B-AF31-8EE3B31B7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14-F541-98CF-7320FD7D7EDB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4-F541-98CF-7320FD7D7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45-E14B-B52B-6055F8E7243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5-E14B-B52B-6055F8E72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BD-994F-B312-8F851DE418B2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D-994F-B312-8F851DE4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C7-7142-93E6-953CB6286C0C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7-7142-93E6-953CB6286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A3-554D-BB58-909A40CD42B3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3-554D-BB58-909A40CD4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53-C141-95C6-A7611A1E430B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3-C141-95C6-A7611A1E4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B7-8740-AAC6-49F7BAF4EA2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7-8740-AAC6-49F7BAF4E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F8-994D-B537-03226B05F9AD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8-994D-B537-03226B05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E8-C949-BE84-57EED89EFB1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8-C949-BE84-57EED89E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BE-0F4D-AAB4-8E95368A3FFF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E-0F4D-AAB4-8E95368A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66-5146-836D-C8F581BC3FA9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6-5146-836D-C8F581BC3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40168"/>
        <c:axId val="1941046817"/>
      </c:barChart>
      <c:catAx>
        <c:axId val="856140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046817"/>
        <c:crosses val="autoZero"/>
        <c:auto val="1"/>
        <c:lblAlgn val="ctr"/>
        <c:lblOffset val="100"/>
        <c:noMultiLvlLbl val="1"/>
      </c:catAx>
      <c:valAx>
        <c:axId val="1941046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61401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23-4B47-AF1F-D98C12874B0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3-4B47-AF1F-D98C12874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1767785"/>
        <c:axId val="2051304306"/>
      </c:barChart>
      <c:catAx>
        <c:axId val="1991767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304306"/>
        <c:crosses val="autoZero"/>
        <c:auto val="1"/>
        <c:lblAlgn val="ctr"/>
        <c:lblOffset val="100"/>
        <c:noMultiLvlLbl val="1"/>
      </c:catAx>
      <c:valAx>
        <c:axId val="2051304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176778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60-344B-8630-41EED5F2352A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0-344B-8630-41EED5F23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00-6449-9EF1-909305EBB48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0-6449-9EF1-909305EBB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56-2148-AB99-247E2CB18AB7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6-2148-AB99-247E2CB18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73-DC4D-A57B-143C61CEE4DD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3-DC4D-A57B-143C61CE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26-044F-9887-124382BC5D44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6-044F-9887-124382BC5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0C-674F-8DBF-22506170A979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C-674F-8DBF-22506170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67-4743-A85E-66543DCD80B9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7-4743-A85E-66543DCD8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A7-914E-A497-A2ECC4AF95F8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7-914E-A497-A2ECC4AF9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9953609"/>
        <c:axId val="1216568009"/>
      </c:barChart>
      <c:catAx>
        <c:axId val="1589953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6568009"/>
        <c:crosses val="autoZero"/>
        <c:auto val="1"/>
        <c:lblAlgn val="ctr"/>
        <c:lblOffset val="100"/>
        <c:noMultiLvlLbl val="1"/>
      </c:catAx>
      <c:valAx>
        <c:axId val="1216568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995360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FC-FD40-8005-F602216C6FFA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C-FD40-8005-F602216C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8783118"/>
        <c:axId val="1336678179"/>
      </c:barChart>
      <c:catAx>
        <c:axId val="2038783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6678179"/>
        <c:crosses val="autoZero"/>
        <c:auto val="1"/>
        <c:lblAlgn val="ctr"/>
        <c:lblOffset val="100"/>
        <c:noMultiLvlLbl val="1"/>
      </c:catAx>
      <c:valAx>
        <c:axId val="1336678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878311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2-0145-9E2A-3F30AF56EBD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2-0145-9E2A-3F30AF56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CE-9A4F-A177-90258DE7159A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E-9A4F-A177-90258DE71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5D-BC46-B3CC-B03D69983C9B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D-BC46-B3CC-B03D69983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77-C84F-9F30-48D4F265347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7-C84F-9F30-48D4F2653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D9-A94F-8057-02C9982BB881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9-A94F-8057-02C9982B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6B-1F43-B406-3B60E248536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B-1F43-B406-3B60E248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20-F04D-8BB3-D16BD2D7AF4F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0-F04D-8BB3-D16BD2D7A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57-D84B-AD90-FBC95F1D3E68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7-D84B-AD90-FBC95F1D3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727125"/>
        <c:axId val="259631086"/>
      </c:barChart>
      <c:catAx>
        <c:axId val="518727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9631086"/>
        <c:crosses val="autoZero"/>
        <c:auto val="1"/>
        <c:lblAlgn val="ctr"/>
        <c:lblOffset val="100"/>
        <c:noMultiLvlLbl val="1"/>
      </c:catAx>
      <c:valAx>
        <c:axId val="259631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872712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5C-7445-9E0A-0DBBE845A01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C-7445-9E0A-0DBBE845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E2-4A4B-9A1C-6F28DB3B880C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2-4A4B-9A1C-6F28DB3B8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37-F54D-BE56-F1F787919763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7-F54D-BE56-F1F78791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2C-DA44-B4F4-7160DE9EB118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C-DA44-B4F4-7160DE9EB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90-5345-A75E-3B3E2041578D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0-5345-A75E-3B3E20415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F0-BF4A-AB9C-236A188D9175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0-BF4A-AB9C-236A188D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58-4447-B3A2-4A798C2396A9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8-4447-B3A2-4A798C23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64-1B42-9266-7A8DC7418615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4-1B42-9266-7A8DC741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635819"/>
        <c:axId val="195616882"/>
      </c:barChart>
      <c:catAx>
        <c:axId val="1307635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616882"/>
        <c:crosses val="autoZero"/>
        <c:auto val="1"/>
        <c:lblAlgn val="ctr"/>
        <c:lblOffset val="100"/>
        <c:noMultiLvlLbl val="1"/>
      </c:catAx>
      <c:valAx>
        <c:axId val="195616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763581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35-AC4D-9344-C92A2B4BC5E9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5-AC4D-9344-C92A2B4BC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90-DC4D-AC60-E134F5AB3CF5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0-DC4D-AC60-E134F5AB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42-2445-AC8A-DA1587C3E851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2-2445-AC8A-DA1587C3E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97-A147-861C-DBE208D98FC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7-A147-861C-DBE208D9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8C-DD47-AEC5-0CEA50F3354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C-DD47-AEC5-0CEA50F33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40-2B42-AA4C-7C7C8620F39E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0-2B42-AA4C-7C7C8620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5D-434A-BF99-3B246EFA38C7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D-434A-BF99-3B246EFA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FE-6341-B97F-748BA550BA5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E-6341-B97F-748BA550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0816135"/>
        <c:axId val="1998199218"/>
      </c:barChart>
      <c:catAx>
        <c:axId val="1850816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8199218"/>
        <c:crosses val="autoZero"/>
        <c:auto val="1"/>
        <c:lblAlgn val="ctr"/>
        <c:lblOffset val="100"/>
        <c:noMultiLvlLbl val="1"/>
      </c:catAx>
      <c:valAx>
        <c:axId val="1998199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081613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25-444A-9938-B2B8E957FFA9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5-444A-9938-B2B8E957F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8A-5E4A-905D-D1EF9A98E0B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A-5E4A-905D-D1EF9A98E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18-1E4E-8F0F-8BAC87604190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8-1E4E-8F0F-8BAC87604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6F-014F-AB0B-0D9572F45AAD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F-014F-AB0B-0D9572F45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F3-5F45-8953-E9C861FA01A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3-5F45-8953-E9C861FA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FF-8F43-B464-D164E1DEA123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F-8F43-B464-D164E1DEA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2C-4642-B5F0-F5C15ED7A63B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2C-4642-B5F0-F5C15ED7A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'NOV26'!$F$8:$F$9</c:f>
              <c:strCache>
                <c:ptCount val="1"/>
                <c:pt idx="0">
                  <c:v>Total Monthly Income</c:v>
                </c:pt>
              </c:strCache>
            </c:strRef>
          </c:cat>
          <c:val>
            <c:numRef>
              <c:f>'NOV26'!$G$8:$G$9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AE-6E44-A6DA-169B484A8D2A}"/>
            </c:ext>
          </c:extLst>
        </c:ser>
        <c:ser>
          <c:idx val="1"/>
          <c:order val="1"/>
          <c:invertIfNegative val="1"/>
          <c:cat>
            <c:strRef>
              <c:f>'NOV26'!$F$8:$F$9</c:f>
              <c:strCache>
                <c:ptCount val="1"/>
                <c:pt idx="0">
                  <c:v>Total Monthly Income</c:v>
                </c:pt>
              </c:strCache>
            </c:strRef>
          </c:cat>
          <c:val>
            <c:numRef>
              <c:f>'NOV26'!$H$8:$H$9</c:f>
              <c:numCache>
                <c:formatCode>General</c:formatCode>
                <c:ptCount val="2"/>
                <c:pt idx="0" formatCode="_ [$R-1C09]\ * #,##0.00_ ;_ [$R-1C09]\ * \-#,##0.00_ ;_ [$R-1C09]\ * &quot;-&quot;??_ ;_ @_ ">
                  <c:v>26390.98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E-6E44-A6DA-169B484A8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9193827"/>
        <c:axId val="1464610274"/>
      </c:barChart>
      <c:catAx>
        <c:axId val="1599193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610274"/>
        <c:crosses val="autoZero"/>
        <c:auto val="1"/>
        <c:lblAlgn val="ctr"/>
        <c:lblOffset val="100"/>
        <c:noMultiLvlLbl val="1"/>
      </c:catAx>
      <c:valAx>
        <c:axId val="1464610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919382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0C-2248-B49D-5898564BBEBF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C-2248-B49D-5898564BB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3076422"/>
        <c:axId val="1002038842"/>
      </c:barChart>
      <c:catAx>
        <c:axId val="923076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2038842"/>
        <c:crosses val="autoZero"/>
        <c:auto val="1"/>
        <c:lblAlgn val="ctr"/>
        <c:lblOffset val="100"/>
        <c:noMultiLvlLbl val="1"/>
      </c:catAx>
      <c:valAx>
        <c:axId val="1002038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307642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36-9B48-8BEF-E1D1371A88FE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6-9B48-8BEF-E1D1371A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EF-884F-A8C0-C6341843900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F-884F-A8C0-C6341843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CE-6344-BD99-BF28B1C590DE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E-6344-BD99-BF28B1C5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4A-4042-8083-E55BB884819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A-4042-8083-E55BB884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44-A444-9B44-32BB274213F0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4-A444-9B44-32BB27421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6D-BB44-A234-89D1ADF8B039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D-BB44-A234-89D1ADF8B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CD-0847-B29B-1B859E38243F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D-0847-B29B-1B859E38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2F-5941-A405-22D13B798A5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F-5941-A405-22D13B798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137660"/>
        <c:axId val="1478220449"/>
      </c:barChart>
      <c:catAx>
        <c:axId val="172713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8220449"/>
        <c:crosses val="autoZero"/>
        <c:auto val="1"/>
        <c:lblAlgn val="ctr"/>
        <c:lblOffset val="100"/>
        <c:noMultiLvlLbl val="1"/>
      </c:catAx>
      <c:valAx>
        <c:axId val="147822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1376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C8-454A-AD6C-E37ABEE50DB2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8-454A-AD6C-E37ABEE50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789939"/>
        <c:axId val="943279031"/>
      </c:barChart>
      <c:catAx>
        <c:axId val="9447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279031"/>
        <c:crosses val="autoZero"/>
        <c:auto val="1"/>
        <c:lblAlgn val="ctr"/>
        <c:lblOffset val="100"/>
        <c:noMultiLvlLbl val="1"/>
      </c:catAx>
      <c:valAx>
        <c:axId val="94327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7899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45-E24D-BEC3-93CE9D9AF7FE}"/>
            </c:ext>
          </c:extLst>
        </c:ser>
        <c:ser>
          <c:idx val="1"/>
          <c:order val="1"/>
          <c:invertIfNegative val="1"/>
          <c:cat>
            <c:strRef>
              <c:f>'DEC26'!$F$7:$F$10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68390.98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45-E24D-BEC3-93CE9D9A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728799"/>
        <c:axId val="408736081"/>
      </c:barChart>
      <c:catAx>
        <c:axId val="45872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736081"/>
        <c:crosses val="autoZero"/>
        <c:auto val="1"/>
        <c:lblAlgn val="ctr"/>
        <c:lblOffset val="100"/>
        <c:noMultiLvlLbl val="1"/>
      </c:catAx>
      <c:valAx>
        <c:axId val="40873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7287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Ratios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B0151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'DEC26'!$G$7:$G$10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7B-0A4B-B95D-EF8CDB06449A}"/>
            </c:ext>
          </c:extLst>
        </c:ser>
        <c:ser>
          <c:idx val="1"/>
          <c:order val="1"/>
          <c:invertIfNegative val="1"/>
          <c:cat>
            <c:strRef>
              <c:f>'JAN26'!$F$7:$F$10</c:f>
              <c:strCache>
                <c:ptCount val="4"/>
                <c:pt idx="0">
                  <c:v>SUMMARY</c:v>
                </c:pt>
                <c:pt idx="1">
                  <c:v>Total Monthly Income</c:v>
                </c:pt>
                <c:pt idx="3">
                  <c:v>Total Monthly Expenses</c:v>
                </c:pt>
              </c:strCache>
            </c:strRef>
          </c:cat>
          <c:val>
            <c:numRef>
              <c:f>'JAN26'!$H$7:$H$10</c:f>
              <c:numCache>
                <c:formatCode>_ [$R-1C09]\ * #,##0.00_ ;_ [$R-1C09]\ * \-#,##0.00_ ;_ [$R-1C09]\ * "-"??_ ;_ @_ </c:formatCode>
                <c:ptCount val="4"/>
                <c:pt idx="1">
                  <c:v>26390.98</c:v>
                </c:pt>
                <c:pt idx="3">
                  <c:v>26390.979999999996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B-0A4B-B95D-EF8CDB06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222049"/>
        <c:axId val="1586253510"/>
      </c:barChart>
      <c:catAx>
        <c:axId val="5522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253510"/>
        <c:crosses val="autoZero"/>
        <c:auto val="1"/>
        <c:lblAlgn val="ctr"/>
        <c:lblOffset val="100"/>
        <c:noMultiLvlLbl val="1"/>
      </c:catAx>
      <c:valAx>
        <c:axId val="158625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2220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3" Type="http://schemas.openxmlformats.org/officeDocument/2006/relationships/chart" Target="../charts/chart53.xml"/><Relationship Id="rId7" Type="http://schemas.openxmlformats.org/officeDocument/2006/relationships/chart" Target="../charts/chart57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6.xml"/><Relationship Id="rId3" Type="http://schemas.openxmlformats.org/officeDocument/2006/relationships/chart" Target="../charts/chart61.xml"/><Relationship Id="rId7" Type="http://schemas.openxmlformats.org/officeDocument/2006/relationships/chart" Target="../charts/chart65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6" Type="http://schemas.openxmlformats.org/officeDocument/2006/relationships/chart" Target="../charts/chart64.xml"/><Relationship Id="rId5" Type="http://schemas.openxmlformats.org/officeDocument/2006/relationships/chart" Target="../charts/chart63.xml"/><Relationship Id="rId4" Type="http://schemas.openxmlformats.org/officeDocument/2006/relationships/chart" Target="../charts/chart6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3" Type="http://schemas.openxmlformats.org/officeDocument/2006/relationships/chart" Target="../charts/chart69.xml"/><Relationship Id="rId7" Type="http://schemas.openxmlformats.org/officeDocument/2006/relationships/chart" Target="../charts/chart73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5" Type="http://schemas.openxmlformats.org/officeDocument/2006/relationships/chart" Target="../charts/chart71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4" Type="http://schemas.openxmlformats.org/officeDocument/2006/relationships/chart" Target="../charts/chart7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052436283" name="Chart 1">
          <a:extLst>
            <a:ext uri="{FF2B5EF4-FFF2-40B4-BE49-F238E27FC236}">
              <a16:creationId xmlns:a16="http://schemas.microsoft.com/office/drawing/2014/main" id="{00000000-0008-0000-0000-00003BB15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" name="Shape 3" descr="Simple Budget" title="Template Titl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" name="Shape 4" descr="Simple Budget" title="Template Titl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6" name="Shape 6" descr="Simple Budget" title="Template Titl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77800" y="209550"/>
          <a:ext cx="85344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934825" cy="1038225"/>
    <xdr:sp macro="" textlink="">
      <xdr:nvSpPr>
        <xdr:cNvPr id="7" name="Shape 7" descr="Simple Budget" title="Template Titl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77800" y="209550"/>
          <a:ext cx="1193482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8" name="Shape 8" descr="Holds budget year, such as 2014." title="Budget Year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" descr="Simple Budget" title="Template Titl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1" name="Shape 4" descr="Simple Budget" title="Template Titl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2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6" name="Shape 6" descr="Simple Budget" title="Template Titl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934825" cy="1038225"/>
    <xdr:sp macro="" textlink="">
      <xdr:nvSpPr>
        <xdr:cNvPr id="7" name="Shape 7" descr="Simple Budget" title="Template Titl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8" name="Shape 8" descr="Holds budget year, such as 2014." title="Budget Year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955475" y="3251363"/>
          <a:ext cx="781050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" name="Shape 3" descr="Simple Budget" title="Template Tit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" name="Shape 4" descr="Simple Budget" title="Template Titl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43500" cy="8991600"/>
    <xdr:graphicFrame macro="">
      <xdr:nvGraphicFramePr>
        <xdr:cNvPr id="21836417" name="Chart 3">
          <a:extLst>
            <a:ext uri="{FF2B5EF4-FFF2-40B4-BE49-F238E27FC236}">
              <a16:creationId xmlns:a16="http://schemas.microsoft.com/office/drawing/2014/main" id="{00000000-0008-0000-0200-000081324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43500" cy="8991600"/>
    <xdr:graphicFrame macro="">
      <xdr:nvGraphicFramePr>
        <xdr:cNvPr id="1360011580" name="Chart 4">
          <a:extLst>
            <a:ext uri="{FF2B5EF4-FFF2-40B4-BE49-F238E27FC236}">
              <a16:creationId xmlns:a16="http://schemas.microsoft.com/office/drawing/2014/main" id="{00000000-0008-0000-0200-00003C211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963025" cy="1038225"/>
    <xdr:sp macro="" textlink="">
      <xdr:nvSpPr>
        <xdr:cNvPr id="9" name="Shape 9" descr="Simple Budget" title="Template Titl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864488" y="3265650"/>
          <a:ext cx="8963025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963025" cy="1038225"/>
    <xdr:sp macro="" textlink="">
      <xdr:nvSpPr>
        <xdr:cNvPr id="10" name="Shape 10" descr="Simple Budget" title="Template Titl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864488" y="3265650"/>
          <a:ext cx="8963025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963025" cy="1038225"/>
    <xdr:sp macro="" textlink="">
      <xdr:nvSpPr>
        <xdr:cNvPr id="11" name="Shape 11" descr="Simple Budget" title="Template Titl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864488" y="3265650"/>
          <a:ext cx="8963025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2296775" cy="1038225"/>
    <xdr:sp macro="" textlink="">
      <xdr:nvSpPr>
        <xdr:cNvPr id="12" name="Shape 12" descr="Simple Budget" title="Template Titl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3" name="Shape 13" descr="Holds budget year, such as 2014." title="Budget Year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963025" cy="1038225"/>
    <xdr:sp macro="" textlink="">
      <xdr:nvSpPr>
        <xdr:cNvPr id="14" name="Shape 14" descr="Simple Budget" title="Template Titl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864488" y="3265650"/>
          <a:ext cx="8963025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2296775" cy="1038225"/>
    <xdr:sp macro="" textlink="">
      <xdr:nvSpPr>
        <xdr:cNvPr id="15" name="Shape 15" descr="Simple Budget" title="Template Titl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6" name="Shape 16" descr="Holds budget year, such as 2014." title="Budget Year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" name="Shape 3" descr="Simple Budget" title="Template Tit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" name="Shape 4" descr="Simple Budget" title="Template Titl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6" name="Chart 1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7" name="Shape 103" descr="Simple Budget" title="Template Titl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8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18" name="Chart 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9" name="Shape 28" descr="Simple Budget" title="Template Titl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0" name="Shape 29" descr="Simple Budget" title="Template Titl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1" name="Shape 30" descr="Simple Budget" title="Template Titl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1" descr="Simple Budget" title="Template Titl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3" name="Shape 32" descr="Simple Budget" title="Template Titl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4" name="Shape 33" descr="Simple Budget" title="Template Titl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5" name="Shape 34" descr="Simple Budget" title="Template Titl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6" name="Shape 35" descr="Simple Budget" title="Template Titl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7" name="Shape 36" descr="Simple Budget" title="Template Titl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8" name="Shape 37" descr="Simple Budget" title="Template Titl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9" name="Shape 38" descr="Simple Budget" title="Template Titl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39" descr="Simple Budget" title="Template Titl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31" name="Shape 40" descr="Simple Budget" title="Template Titl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32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42" descr="Simple Budget" title="Template Titl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34" name="Shape 43" descr="Simple Budget" title="Template Titl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35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" descr="Simple Budget" title="Template Titl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38" name="Shape 4" descr="Simple Budget" title="Template Titl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39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43500" cy="7000875"/>
    <xdr:graphicFrame macro="">
      <xdr:nvGraphicFramePr>
        <xdr:cNvPr id="1263266516" name="Chart 5">
          <a:extLst>
            <a:ext uri="{FF2B5EF4-FFF2-40B4-BE49-F238E27FC236}">
              <a16:creationId xmlns:a16="http://schemas.microsoft.com/office/drawing/2014/main" id="{00000000-0008-0000-0300-0000D4EA4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43500" cy="7334250"/>
    <xdr:graphicFrame macro="">
      <xdr:nvGraphicFramePr>
        <xdr:cNvPr id="900988965" name="Chart 6">
          <a:extLst>
            <a:ext uri="{FF2B5EF4-FFF2-40B4-BE49-F238E27FC236}">
              <a16:creationId xmlns:a16="http://schemas.microsoft.com/office/drawing/2014/main" id="{00000000-0008-0000-0300-00002500B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17" name="Shape 17" descr="Simple Budget" title="Template Titl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18" name="Shape 18" descr="Simple Budget" title="Template Titl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19" name="Shape 19" descr="Simple Budget" title="Template Titl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20" name="Shape 20" descr="Simple Budget" title="Template Titl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21" name="Shape 21" descr="Simple Budget" title="Template Titl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22" name="Shape 22" descr="Simple Budget" title="Template Titl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68150" cy="1038225"/>
    <xdr:sp macro="" textlink="">
      <xdr:nvSpPr>
        <xdr:cNvPr id="23" name="Shape 23" descr="Simple Budget" title="Template Titl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24" descr="Holds budget year, such as 2014." title="Budget Year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25" name="Shape 25" descr="Simple Budget" title="Template Titl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68150" cy="1038225"/>
    <xdr:sp macro="" textlink="">
      <xdr:nvSpPr>
        <xdr:cNvPr id="26" name="Shape 26" descr="Simple Budget" title="Template Titl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7" name="Shape 27" descr="Holds budget year, such as 2014." title="Budget Year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" name="Shape 3" descr="Simple Budget" title="Template Titl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" name="Shape 4" descr="Simple Budget" title="Template Titl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6" name="Chart 1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7" name="Shape 103" descr="Simple Budget" title="Template Titl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8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28" descr="Simple Budget" title="Template Titl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29" descr="Simple Budget" title="Template Titl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0" descr="Simple Budget" title="Template Titl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1" descr="Simple Budget" title="Template Titl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2" descr="Simple Budget" title="Template Titl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6" name="Shape 33" descr="Simple Budget" title="Template Titl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8" name="Shape 34" descr="Simple Budget" title="Template Titl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9" name="Shape 35" descr="Simple Budget" title="Template Titl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36" descr="Simple Budget" title="Template Titl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37" descr="Simple Budget" title="Template Titl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8" descr="Simple Budget" title="Template Titl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9" descr="Simple Budget" title="Template Titl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34" name="Shape 40" descr="Simple Budget" title="Template Titl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35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42" descr="Simple Budget" title="Template Titl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37" name="Shape 43" descr="Simple Budget" title="Template Titl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38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" descr="Simple Budget" title="Template Titl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1" name="Shape 4" descr="Simple Budget" title="Template Titl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2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1666600488" name="Chart 7">
          <a:extLst>
            <a:ext uri="{FF2B5EF4-FFF2-40B4-BE49-F238E27FC236}">
              <a16:creationId xmlns:a16="http://schemas.microsoft.com/office/drawing/2014/main" id="{00000000-0008-0000-0400-0000284E5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1386082972" name="Chart 8">
          <a:extLst>
            <a:ext uri="{FF2B5EF4-FFF2-40B4-BE49-F238E27FC236}">
              <a16:creationId xmlns:a16="http://schemas.microsoft.com/office/drawing/2014/main" id="{00000000-0008-0000-0400-00009CF29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8" name="Shape 28" descr="Simple Budget" title="Template Titl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9" name="Shape 29" descr="Simple Budget" title="Template Title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30" descr="Simple Budget" title="Template Title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31" descr="Simple Budget" title="Template Title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2" descr="Simple Budget" title="Template Title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3" descr="Simple Budget" title="Template Title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4" descr="Simple Budget" title="Template Title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5" descr="Simple Budget" title="Template Title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6" descr="Simple Budget" title="Template Title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7" descr="Simple Budget" title="Template Title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8" descr="Simple Budget" title="Template Title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9" descr="Simple Budget" title="Template Title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0" name="Shape 40" descr="Simple Budget" title="Template Title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1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2" name="Shape 42" descr="Simple Budget" title="Template Title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3" name="Shape 43" descr="Simple Budget" title="Template Title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4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" name="Shape 3" descr="Simple Budget" title="Template Titl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" name="Shape 4" descr="Simple Budget" title="Template Titl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6" name="Chart 1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7" name="Shape 103" descr="Simple Budget" title="Template Titl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8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28" descr="Simple Budget" title="Template Titl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29" descr="Simple Budget" title="Template Titl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0" descr="Simple Budget" title="Template Titl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1" descr="Simple Budget" title="Template Titl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2" descr="Simple Budget" title="Template Titl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6" name="Shape 33" descr="Simple Budget" title="Template Titl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7" name="Shape 34" descr="Simple Budget" title="Template Titl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35" descr="Simple Budget" title="Template Titl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9" name="Shape 36" descr="Simple Budget" title="Template Titl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0" name="Shape 37" descr="Simple Budget" title="Template Titl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1" name="Shape 38" descr="Simple Budget" title="Template Title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9" descr="Simple Budget" title="Template Titl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0" descr="Simple Budget" title="Template Title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5" name="Shape 42" descr="Simple Budget" title="Template Title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6" name="Shape 43" descr="Simple Budget" title="Template Title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7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6" name="Shape 3" descr="Simple Budget" title="Template Title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7" name="Shape 4" descr="Simple Budget" title="Template Title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8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110708025" name="Chart 9">
          <a:extLst>
            <a:ext uri="{FF2B5EF4-FFF2-40B4-BE49-F238E27FC236}">
              <a16:creationId xmlns:a16="http://schemas.microsoft.com/office/drawing/2014/main" id="{00000000-0008-0000-0500-000039459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861648548" name="Chart 10">
          <a:extLst>
            <a:ext uri="{FF2B5EF4-FFF2-40B4-BE49-F238E27FC236}">
              <a16:creationId xmlns:a16="http://schemas.microsoft.com/office/drawing/2014/main" id="{00000000-0008-0000-0500-0000A4B65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5" name="Shape 45" descr="Simple Budget" title="Template Title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6" name="Shape 46" descr="Simple Budget" title="Template Title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7" name="Shape 47" descr="Simple Budget" title="Template Title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8" name="Shape 48" descr="Simple Budget" title="Template Title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9" name="Shape 49" descr="Simple Budget" title="Template Title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0" name="Shape 50" descr="Simple Budget" title="Template Title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1" name="Shape 51" descr="Simple Budget" title="Template Title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2" name="Shape 52" descr="Simple Budget" title="Template Title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3" name="Shape 53" descr="Simple Budget" title="Template Title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4" name="Shape 54" descr="Simple Budget" title="Template Title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5" name="Shape 55" descr="Simple Budget" title="Template Title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6" name="Shape 56" descr="Simple Budget" title="Template Title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57" name="Shape 57" descr="Simple Budget" title="Template Title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8" name="Shape 58" descr="Holds budget year, such as 2014." title="Budget Year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9" name="Shape 59" descr="Simple Budget" title="Template Title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60" name="Shape 60" descr="Simple Budget" title="Template Title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61" name="Shape 61" descr="Holds budget year, such as 2014." title="Budget Year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5" name="Chart 18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26" name="Shape 103" descr="Simple Budget" title="Template Title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27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8" name="Chart 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28" descr="Simple Budget" title="Template Title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29" descr="Simple Budget" title="Template Title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0" descr="Simple Budget" title="Template Titl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1" descr="Simple Budget" title="Template Title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2" descr="Simple Budget" title="Template Title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3" descr="Simple Budget" title="Template Title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4" descr="Simple Budget" title="Template Titl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5" descr="Simple Budget" title="Template Titl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6" descr="Simple Budget" title="Template Title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7" descr="Simple Budget" title="Template Title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8" descr="Simple Budget" title="Template Title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1" name="Shape 39" descr="Simple Budget" title="Template Title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2" name="Shape 40" descr="Simple Budget" title="Template Title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3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4" name="Shape 42" descr="Simple Budget" title="Template Title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62" name="Shape 43" descr="Simple Budget" title="Template Title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63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110707968" name="Chart 110707967">
          <a:extLst>
            <a:ext uri="{FF2B5EF4-FFF2-40B4-BE49-F238E27FC236}">
              <a16:creationId xmlns:a16="http://schemas.microsoft.com/office/drawing/2014/main" id="{00000000-0008-0000-0500-000000459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0707969" name="Shape 3" descr="Simple Budget" title="Template Title">
          <a:extLst>
            <a:ext uri="{FF2B5EF4-FFF2-40B4-BE49-F238E27FC236}">
              <a16:creationId xmlns:a16="http://schemas.microsoft.com/office/drawing/2014/main" id="{00000000-0008-0000-0500-000001459906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10707970" name="Shape 4" descr="Simple Budget" title="Template Title">
          <a:extLst>
            <a:ext uri="{FF2B5EF4-FFF2-40B4-BE49-F238E27FC236}">
              <a16:creationId xmlns:a16="http://schemas.microsoft.com/office/drawing/2014/main" id="{00000000-0008-0000-0500-000002459906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10707971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500-000003459906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05400" cy="7667625"/>
    <xdr:graphicFrame macro="">
      <xdr:nvGraphicFramePr>
        <xdr:cNvPr id="2146531689" name="Chart 11">
          <a:extLst>
            <a:ext uri="{FF2B5EF4-FFF2-40B4-BE49-F238E27FC236}">
              <a16:creationId xmlns:a16="http://schemas.microsoft.com/office/drawing/2014/main" id="{00000000-0008-0000-0600-00006979F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8001000"/>
    <xdr:graphicFrame macro="">
      <xdr:nvGraphicFramePr>
        <xdr:cNvPr id="1281694583" name="Chart 12">
          <a:extLst>
            <a:ext uri="{FF2B5EF4-FFF2-40B4-BE49-F238E27FC236}">
              <a16:creationId xmlns:a16="http://schemas.microsoft.com/office/drawing/2014/main" id="{00000000-0008-0000-0600-0000771B6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2" name="Shape 62" descr="Simple Budget" title="Template Title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3" name="Shape 63" descr="Simple Budget" title="Template Title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64" name="Shape 64" descr="Simple Budget" title="Template Title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65" name="Shape 65" descr="Holds budget year, such as 2014." title="Budget Year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6" name="Shape 66" descr="Simple Budget" title="Template Title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67" name="Shape 67" descr="Simple Budget" title="Template Title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68" name="Shape 68" descr="Holds budget year, such as 2014." title="Budget Year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5" name="Chart 18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26" name="Shape 103" descr="Simple Budget" title="Template Title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27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8" name="Chart 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28" descr="Simple Budget" title="Template Title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29" descr="Simple Budget" title="Template Title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0" descr="Simple Budget" title="Template Title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1" descr="Simple Budget" title="Template Title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2" descr="Simple Budget" title="Template Title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3" descr="Simple Budget" title="Template Title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4" descr="Simple Budget" title="Template Title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5" descr="Simple Budget" title="Template Title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6" descr="Simple Budget" title="Template Title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7" descr="Simple Budget" title="Template Title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8" descr="Simple Budget" title="Template Title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1" name="Shape 39" descr="Simple Budget" title="Template Title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2" name="Shape 40" descr="Simple Budget" title="Template Title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3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4" name="Shape 42" descr="Simple Budget" title="Template Title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5" name="Shape 43" descr="Simple Budget" title="Template Title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6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8" name="Shape 3" descr="Simple Budget" title="Template Title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9" name="Shape 4" descr="Simple Budget" title="Template Title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0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723978057" name="Chart 13">
          <a:extLst>
            <a:ext uri="{FF2B5EF4-FFF2-40B4-BE49-F238E27FC236}">
              <a16:creationId xmlns:a16="http://schemas.microsoft.com/office/drawing/2014/main" id="{00000000-0008-0000-0700-000049072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9" name="Shape 69" descr="Simple Budget" title="Template Title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70" name="Shape 70" descr="Simple Budget" title="Template Title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71" name="Shape 71" descr="Holds budget year, such as 2014." title="Budget Year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5" name="Chart 18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26" name="Shape 103" descr="Simple Budget" title="Template Title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27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8" name="Chart 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28" descr="Simple Budget" title="Template Title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29" descr="Simple Budget" title="Template Title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0" descr="Simple Budget" title="Template Title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1" descr="Simple Budget" title="Template Title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2" descr="Simple Budget" title="Template Title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3" descr="Simple Budget" title="Template Title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4" descr="Simple Budget" title="Template Title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5" descr="Simple Budget" title="Template Title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6" descr="Simple Budget" title="Template Title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7" descr="Simple Budget" title="Template Title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8" descr="Simple Budget" title="Template Title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1" name="Shape 39" descr="Simple Budget" title="Template Title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2" name="Shape 40" descr="Simple Budget" title="Template Title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3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4" name="Shape 42" descr="Simple Budget" title="Template Title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5" name="Shape 43" descr="Simple Budget" title="Template Title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6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8" name="Shape 3" descr="Simple Budget" title="Template Title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9" name="Shape 4" descr="Simple Budget" title="Template Title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0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455193622" name="Chart 14">
          <a:extLst>
            <a:ext uri="{FF2B5EF4-FFF2-40B4-BE49-F238E27FC236}">
              <a16:creationId xmlns:a16="http://schemas.microsoft.com/office/drawing/2014/main" id="{00000000-0008-0000-0800-000016B42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2" name="Shape 72" descr="Simple Budget" title="Template Title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3" name="Shape 73" descr="Simple Budget" title="Template Title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4" name="Shape 74" descr="Simple Budget" title="Template Title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5" name="Shape 75" descr="Simple Budget" title="Template Title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6" name="Shape 76" descr="Simple Budget" title="Template Title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7" name="Shape 77" descr="Simple Budget" title="Template Title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8" name="Shape 78" descr="Simple Budget" title="Template Title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9" name="Shape 79" descr="Simple Budget" title="Template Title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0" name="Shape 80" descr="Simple Budget" title="Template Title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1" name="Shape 81" descr="Simple Budget" title="Template Title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2" name="Shape 82" descr="Simple Budget" title="Template Title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3" name="Shape 83" descr="Simple Budget" title="Template Title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/>
      </xdr:nvSpPr>
      <xdr:spPr>
        <a:xfrm>
          <a:off x="1097850" y="3265650"/>
          <a:ext cx="84963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84" name="Shape 84" descr="Simple Budget" title="Template Title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85" name="Shape 85" descr="Holds budget year, such as 2014." title="Budget Year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5" name="Chart 18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26" name="Shape 103" descr="Simple Budget" title="Template Title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27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8" name="Chart 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28" descr="Simple Budget" title="Template Title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29" descr="Simple Budget" title="Template Title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0" descr="Simple Budget" title="Template Title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1" descr="Simple Budget" title="Template Title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2" descr="Simple Budget" title="Template Title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3" descr="Simple Budget" title="Template Title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4" descr="Simple Budget" title="Template Title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5" descr="Simple Budget" title="Template Title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6" descr="Simple Budget" title="Template Title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7" descr="Simple Budget" title="Template Title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8" descr="Simple Budget" title="Template Title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1" name="Shape 39" descr="Simple Budget" title="Template Title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2" name="Shape 40" descr="Simple Budget" title="Template Title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3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4" name="Shape 42" descr="Simple Budget" title="Template Title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5" name="Shape 43" descr="Simple Budget" title="Template Title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6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8" name="Shape 3" descr="Simple Budget" title="Template Title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9" name="Shape 4" descr="Simple Budget" title="Template Title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0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43500" cy="9334500"/>
    <xdr:graphicFrame macro="">
      <xdr:nvGraphicFramePr>
        <xdr:cNvPr id="1347936075" name="Chart 15">
          <a:extLst>
            <a:ext uri="{FF2B5EF4-FFF2-40B4-BE49-F238E27FC236}">
              <a16:creationId xmlns:a16="http://schemas.microsoft.com/office/drawing/2014/main" id="{00000000-0008-0000-0900-00004BDF5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86" name="Shape 86" descr="Simple Budget" title="Template Title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87" name="Shape 87" descr="Simple Budget" title="Template Title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88" name="Shape 88" descr="Simple Budget" title="Template Title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89" name="Shape 89" descr="Simple Budget" title="Template Title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0" name="Shape 90" descr="Simple Budget" title="Template Title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1" name="Shape 91" descr="Simple Budget" title="Template Title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2" name="Shape 92" descr="Simple Budget" title="Template Title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3" name="Shape 93" descr="Simple Budget" title="Template Title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4" name="Shape 94" descr="Simple Budget" title="Template Title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5" name="Shape 95" descr="Simple Budget" title="Template Title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6" name="Shape 96" descr="Simple Budget" title="Template Title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97" name="Shape 97" descr="Simple Budget" title="Template Title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2001500" cy="1038225"/>
    <xdr:sp macro="" textlink="">
      <xdr:nvSpPr>
        <xdr:cNvPr id="98" name="Shape 98" descr="Simple Budget" title="Template Title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99" name="Shape 99" descr="Holds budget year, such as 2014." title="Budget Year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4955475" y="3251363"/>
          <a:ext cx="781050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5" name="Chart 18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26" name="Shape 103" descr="Simple Budget" title="Template Title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27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8" name="Chart 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0" name="Shape 28" descr="Simple Budget" title="Template Title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29" descr="Simple Budget" title="Template Title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30" descr="Simple Budget" title="Template Title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1" descr="Simple Budget" title="Template Title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2" descr="Simple Budget" title="Template Title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3" descr="Simple Budget" title="Template Title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4" descr="Simple Budget" title="Template Title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5" descr="Simple Budget" title="Template Title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6" descr="Simple Budget" title="Template Title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7" descr="Simple Budget" title="Template Title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8" descr="Simple Budget" title="Template Title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1" name="Shape 39" descr="Simple Budget" title="Template Title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2" name="Shape 40" descr="Simple Budget" title="Template Title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3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4" name="Shape 42" descr="Simple Budget" title="Template Title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5" name="Shape 43" descr="Simple Budget" title="Template Title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6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8" name="Shape 3" descr="Simple Budget" title="Template Title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9" name="Shape 4" descr="Simple Budget" title="Template Title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0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13</xdr:row>
      <xdr:rowOff>238125</xdr:rowOff>
    </xdr:from>
    <xdr:ext cx="4057650" cy="4524375"/>
    <xdr:graphicFrame macro="">
      <xdr:nvGraphicFramePr>
        <xdr:cNvPr id="765500874" name="Chart 16">
          <a:extLst>
            <a:ext uri="{FF2B5EF4-FFF2-40B4-BE49-F238E27FC236}">
              <a16:creationId xmlns:a16="http://schemas.microsoft.com/office/drawing/2014/main" id="{00000000-0008-0000-0A00-0000CA9DA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43500" cy="7334250"/>
    <xdr:graphicFrame macro="">
      <xdr:nvGraphicFramePr>
        <xdr:cNvPr id="774552159" name="Chart 17">
          <a:extLst>
            <a:ext uri="{FF2B5EF4-FFF2-40B4-BE49-F238E27FC236}">
              <a16:creationId xmlns:a16="http://schemas.microsoft.com/office/drawing/2014/main" id="{00000000-0008-0000-0A00-00005FBA2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534400" cy="1038225"/>
    <xdr:sp macro="" textlink="">
      <xdr:nvSpPr>
        <xdr:cNvPr id="100" name="Shape 100" descr="Simple Budget" title="Template Title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SpPr txBox="1"/>
      </xdr:nvSpPr>
      <xdr:spPr>
        <a:xfrm>
          <a:off x="1078800" y="3265650"/>
          <a:ext cx="85344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68150" cy="1038225"/>
    <xdr:sp macro="" textlink="">
      <xdr:nvSpPr>
        <xdr:cNvPr id="101" name="Shape 101" descr="Simple Budget" title="Template Title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02" name="Shape 102" descr="Holds budget year, such as 2014." title="Budget Year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/>
      </xdr:nvSpPr>
      <xdr:spPr>
        <a:xfrm>
          <a:off x="4988813" y="3251363"/>
          <a:ext cx="714375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26" name="Chart 18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27" name="Shape 103" descr="Simple Budget" title="Template Title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/>
      </xdr:nvSpPr>
      <xdr:spPr>
        <a:xfrm>
          <a:off x="177800" y="209550"/>
          <a:ext cx="11877675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28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12204700" y="381000"/>
          <a:ext cx="790575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9" name="Chart 7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0" name="Chart 8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1" name="Shape 28" descr="Simple Budget" title="Template Title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2" name="Shape 29" descr="Simple Budget" title="Template Title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3" name="Shape 30" descr="Simple Budget" title="Template Title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4" name="Shape 31" descr="Simple Budget" title="Template Title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5" name="Shape 32" descr="Simple Budget" title="Template Title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6" name="Shape 33" descr="Simple Budget" title="Template Title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7" name="Shape 34" descr="Simple Budget" title="Template Title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8" name="Shape 35" descr="Simple Budget" title="Template Title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39" name="Shape 36" descr="Simple Budget" title="Template Title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0" name="Shape 37" descr="Simple Budget" title="Template Title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1" name="Shape 38" descr="Simple Budget" title="Template Title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2" name="Shape 39" descr="Simple Budget" title="Template Title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3" name="Shape 40" descr="Simple Budget" title="Template Title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4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5" name="Shape 42" descr="Simple Budget" title="Template Title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46" name="Shape 43" descr="Simple Budget" title="Template Title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47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9" name="Shape 3" descr="Simple Budget" title="Template Title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50" name="Shape 4" descr="Simple Budget" title="Template Title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51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774449659" name="Chart 18">
          <a:extLst>
            <a:ext uri="{FF2B5EF4-FFF2-40B4-BE49-F238E27FC236}">
              <a16:creationId xmlns:a16="http://schemas.microsoft.com/office/drawing/2014/main" id="{00000000-0008-0000-0B00-0000FB292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11877675" cy="1038225"/>
    <xdr:sp macro="" textlink="">
      <xdr:nvSpPr>
        <xdr:cNvPr id="103" name="Shape 103" descr="Simple Budget" title="Template Title">
          <a:extLst>
            <a:ext uri="{FF2B5EF4-FFF2-40B4-BE49-F238E27FC236}">
              <a16:creationId xmlns:a16="http://schemas.microsoft.com/office/drawing/2014/main" id="{00000000-0008-0000-0B00-000067000000}"/>
            </a:ext>
          </a:extLst>
        </xdr:cNvPr>
        <xdr:cNvSpPr txBox="1"/>
      </xdr:nvSpPr>
      <xdr:spPr>
        <a:xfrm>
          <a:off x="0" y="3265650"/>
          <a:ext cx="10692000" cy="1028700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90575" cy="1066800"/>
    <xdr:sp macro="" textlink="">
      <xdr:nvSpPr>
        <xdr:cNvPr id="104" name="Shape 104" descr="Holds budget year, such as 2014." title="Budget Year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SpPr/>
      </xdr:nvSpPr>
      <xdr:spPr>
        <a:xfrm>
          <a:off x="4955475" y="3251363"/>
          <a:ext cx="781050" cy="1057275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0</xdr:rowOff>
    </xdr:from>
    <xdr:ext cx="5105400" cy="700087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171450</xdr:colOff>
      <xdr:row>14</xdr:row>
      <xdr:rowOff>0</xdr:rowOff>
    </xdr:from>
    <xdr:ext cx="5105400" cy="733425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4" name="Shape 28" descr="Simple Budget" title="Template Titl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5" name="Shape 29" descr="Simple Budget" title="Template Titl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6" name="Shape 30" descr="Simple Budget" title="Template Titl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7" name="Shape 31" descr="Simple Budget" title="Template Titl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8" name="Shape 32" descr="Simple Budget" title="Template Titl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9" name="Shape 33" descr="Simple Budget" title="Template Title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0" name="Shape 34" descr="Simple Budget" title="Template Title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1" name="Shape 35" descr="Simple Budget" title="Template Title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2" name="Shape 36" descr="Simple Budget" title="Template Title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3" name="Shape 37" descr="Simple Budget" title="Template Title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4" name="Shape 38" descr="Simple Budget" title="Template Title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5" name="Shape 39" descr="Simple Budget" title="Template Title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6" name="Shape 40" descr="Simple Budget" title="Template Title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17" name="Shape 41" descr="Holds budget year, such as 2014." title="Budget Year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2021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18" name="Shape 42" descr="Simple Budget" title="Template Title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19" name="Shape 43" descr="Simple Budget" title="Template Title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0" name="Shape 44" descr="Holds budget year, such as 2014." title="Budget Year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2025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13</xdr:row>
      <xdr:rowOff>0</xdr:rowOff>
    </xdr:from>
    <xdr:ext cx="5105400" cy="9001125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19050</xdr:rowOff>
    </xdr:from>
    <xdr:ext cx="8496300" cy="1038225"/>
    <xdr:sp macro="" textlink="">
      <xdr:nvSpPr>
        <xdr:cNvPr id="22" name="Shape 3" descr="Simple Budget" title="Template Title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/>
      </xdr:nvSpPr>
      <xdr:spPr>
        <a:xfrm>
          <a:off x="177800" y="209550"/>
          <a:ext cx="849630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19050</xdr:rowOff>
    </xdr:from>
    <xdr:ext cx="11830050" cy="1038225"/>
    <xdr:sp macro="" textlink="">
      <xdr:nvSpPr>
        <xdr:cNvPr id="23" name="Shape 4" descr="Simple Budget" title="Template Title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/>
      </xdr:nvSpPr>
      <xdr:spPr>
        <a:xfrm>
          <a:off x="177800" y="209550"/>
          <a:ext cx="11830050" cy="1038225"/>
        </a:xfrm>
        <a:prstGeom prst="rect">
          <a:avLst/>
        </a:prstGeom>
        <a:gradFill>
          <a:gsLst>
            <a:gs pos="0">
              <a:srgbClr val="70959B"/>
            </a:gs>
            <a:gs pos="100000">
              <a:srgbClr val="0B373D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txBody>
        <a:bodyPr spcFirstLastPara="1" wrap="square" lIns="457200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MONTHLY BUDGET</a:t>
          </a:r>
          <a:endParaRPr sz="32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11</xdr:col>
      <xdr:colOff>762000</xdr:colOff>
      <xdr:row>1</xdr:row>
      <xdr:rowOff>190500</xdr:rowOff>
    </xdr:from>
    <xdr:ext cx="723900" cy="1066800"/>
    <xdr:sp macro="" textlink="">
      <xdr:nvSpPr>
        <xdr:cNvPr id="24" name="Shape 5" descr="Holds budget year, such as 2014." title="Budget Year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>
          <a:off x="12204700" y="381000"/>
          <a:ext cx="723900" cy="106680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spcFirstLastPara="1" wrap="square" lIns="0" tIns="45700" rIns="0" bIns="91425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2026</a:t>
          </a: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AE586275-B925-6B4D-B3AF-BA81741D8514}" name="Table_12666" displayName="Table_12666" ref="B7:D12">
  <tableColumns count="3">
    <tableColumn id="1" xr3:uid="{AC3E862F-B1C1-DF42-803B-E7AFC4DB1D59}" name="Item"/>
    <tableColumn id="2" xr3:uid="{0AFD56A7-D32D-3240-8188-7DBB17B6C1AF}" name="Amount"/>
    <tableColumn id="3" xr3:uid="{791EC995-CA0E-3843-BE74-56A24B815557}" name="." dataDxfId="23"/>
  </tableColumns>
  <tableStyleInfo name="JAN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5CDF1CB2-E236-164B-BDA5-3F3368CDD64B}" name="Table_22767" displayName="Table_22767" ref="B15:D39">
  <tableColumns count="3">
    <tableColumn id="1" xr3:uid="{FF06D033-05C6-6D42-9FB1-BA5F1D9993E3}" name="Item"/>
    <tableColumn id="2" xr3:uid="{156578F4-4B76-034C-AE49-AB95BCF64FDD}" name="Amount"/>
    <tableColumn id="3" xr3:uid="{8EC83FD1-C5D5-1842-910C-599D52C1C28F}" name="." dataDxfId="22"/>
  </tableColumns>
  <tableStyleInfo name="JAN25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59EAFB-1E9B-7D44-AAAE-EA66D7596553}" name="Table_126" displayName="Table_126" ref="B7:D12">
  <tableColumns count="3">
    <tableColumn id="1" xr3:uid="{DBEDF3E6-3193-4C45-B48A-D902439AE73F}" name="Item"/>
    <tableColumn id="2" xr3:uid="{2FFAB71A-4A97-8340-A1DA-98BE1EBD1B77}" name="Amount"/>
    <tableColumn id="3" xr3:uid="{D03342B7-7050-C944-89F7-B2E5C4695F9E}" name="." dataDxfId="21"/>
  </tableColumns>
  <tableStyleInfo name="JAN25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E1CB421-C9BA-BF49-9E28-1D85E41F60B3}" name="Table_227" displayName="Table_227" ref="B15:D39">
  <tableColumns count="3">
    <tableColumn id="1" xr3:uid="{E81DB037-0366-9745-B265-3628218C08FE}" name="Item"/>
    <tableColumn id="2" xr3:uid="{9C9F0704-1626-F04D-8A89-669ECE3943B5}" name="Amount"/>
    <tableColumn id="3" xr3:uid="{91F2375E-B8B2-EE4A-9014-015ECFF1498D}" name="." dataDxfId="20"/>
  </tableColumns>
  <tableStyleInfo name="JAN25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D0007F0-5E16-4347-B90E-908964D45689}" name="Table_1324664" displayName="Table_1324664" ref="B7:D12">
  <tableColumns count="3">
    <tableColumn id="1" xr3:uid="{527CCEBE-1C54-764B-A20D-F704A8BDEB10}" name="Item"/>
    <tableColumn id="2" xr3:uid="{EFF4FC38-92A2-BF4F-8F0E-5365848C383D}" name="Amount"/>
    <tableColumn id="3" xr3:uid="{52FBDC6F-C751-D449-86F1-12589595D061}" name="." dataDxfId="19"/>
  </tableColumns>
  <tableStyleInfo name="JAN25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B939A54B-9D08-6B40-ABDD-3713D2610934}" name="Table_2334765" displayName="Table_2334765" ref="B15:D39">
  <tableColumns count="3">
    <tableColumn id="1" xr3:uid="{3639E6F3-4A46-CB44-BA5E-FDA4EA409165}" name="Item"/>
    <tableColumn id="2" xr3:uid="{0A1C4314-C448-9541-B7CD-884EE0416353}" name="Amount"/>
    <tableColumn id="3" xr3:uid="{6A4317AE-B5AA-3B4C-8C6B-F79DC1D466CE}" name="." dataDxfId="18"/>
  </tableColumns>
  <tableStyleInfo name="JAN25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45E69DA-C9AE-214E-B612-E7ADC351F12D}" name="Table_1324662" displayName="Table_1324662" ref="B7:D12">
  <tableColumns count="3">
    <tableColumn id="1" xr3:uid="{76D32E0C-8B7C-A247-A0D7-FD06F9587742}" name="Item"/>
    <tableColumn id="2" xr3:uid="{3B62D545-D176-4543-97DD-40F7ECA723C6}" name="Amount"/>
    <tableColumn id="3" xr3:uid="{2BF13532-D636-7F4A-8885-6868BA0E7066}" name="." dataDxfId="17"/>
  </tableColumns>
  <tableStyleInfo name="JAN25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FF22A24-2A3E-344C-9918-DD8F00CF6959}" name="Table_2334763" displayName="Table_2334763" ref="B15:D39">
  <tableColumns count="3">
    <tableColumn id="1" xr3:uid="{26CAB654-802D-0B49-9755-98D321C574E1}" name="Item"/>
    <tableColumn id="2" xr3:uid="{E00F837B-850D-A545-A656-4ED82E02BEEC}" name="Amount"/>
    <tableColumn id="3" xr3:uid="{FAB76C7E-DB83-F44C-80CE-E098F9B5D23B}" name="." dataDxfId="16"/>
  </tableColumns>
  <tableStyleInfo name="JAN25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8B24C39-DEA4-1C45-8EB1-32F506DFB858}" name="Table_1324660" displayName="Table_1324660" ref="B7:D12">
  <tableColumns count="3">
    <tableColumn id="1" xr3:uid="{53DC237D-A400-EE4E-A83E-3DB370B85ECE}" name="Item"/>
    <tableColumn id="2" xr3:uid="{F2595BC3-0E7D-8047-A125-A3D288EB128E}" name="Amount"/>
    <tableColumn id="3" xr3:uid="{E430735F-9F59-3049-B424-EC3BAEF35774}" name="." dataDxfId="15"/>
  </tableColumns>
  <tableStyleInfo name="JAN25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C934D05-4296-F249-8EE4-EC57DBDB9C6B}" name="Table_2334761" displayName="Table_2334761" ref="B15:D39">
  <tableColumns count="3">
    <tableColumn id="1" xr3:uid="{A17AF7B6-81C9-FA46-9BB9-C637F48491BC}" name="Item"/>
    <tableColumn id="2" xr3:uid="{88D26362-2220-C741-B32A-F5F8384FD2E5}" name="Amount"/>
    <tableColumn id="3" xr3:uid="{9A418CD1-073F-4E45-A81F-A2A46695C4FD}" name="." dataDxfId="14"/>
  </tableColumns>
  <tableStyleInfo name="JAN25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BC16E23-E3C7-6644-A5CC-FBD4D1C0ED0F}" name="Table_1324658" displayName="Table_1324658" ref="B7:D12">
  <tableColumns count="3">
    <tableColumn id="1" xr3:uid="{7DA0B6C2-4DD7-574A-8828-D22084F08442}" name="Item"/>
    <tableColumn id="2" xr3:uid="{14650036-54BE-E048-BA69-6CDD20BEAAAE}" name="Amount"/>
    <tableColumn id="3" xr3:uid="{CE0FDE8F-3CFC-7F43-A155-D04DEE554298}" name="." dataDxfId="13"/>
  </tableColumns>
  <tableStyleInfo name="JAN25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E64D6D6-457E-FD46-B520-27F72C02FC4E}" name="Table_2334759" displayName="Table_2334759" ref="B15:D39">
  <tableColumns count="3">
    <tableColumn id="1" xr3:uid="{547F7F38-4CF7-3440-9669-8E49B5DFD41F}" name="Item"/>
    <tableColumn id="2" xr3:uid="{2AEC8C51-E5AF-F949-886A-FA17DAC0A987}" name="Amount"/>
    <tableColumn id="3" xr3:uid="{DA0C28DE-D9BF-D64D-B239-496F4E173C8B}" name="." dataDxfId="12"/>
  </tableColumns>
  <tableStyleInfo name="JAN25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A6AC098-2F8C-A84B-8500-723F56E7A2F9}" name="Table_1324656" displayName="Table_1324656" ref="B7:D12">
  <tableColumns count="3">
    <tableColumn id="1" xr3:uid="{2593019A-DFEA-4644-B841-D1F034C3CBA0}" name="Item"/>
    <tableColumn id="2" xr3:uid="{76817692-2AC4-1A45-96F4-2654E2239DC5}" name="Amount"/>
    <tableColumn id="3" xr3:uid="{127D60EF-F439-C341-BCA9-8C9BCA603D3A}" name="." dataDxfId="11"/>
  </tableColumns>
  <tableStyleInfo name="JAN25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1C5C8783-2308-D74A-85AF-8790A12DFD39}" name="Table_2334757" displayName="Table_2334757" ref="B15:D39">
  <tableColumns count="3">
    <tableColumn id="1" xr3:uid="{3D9BCAC2-1944-A64A-AFB8-42E78D749BA1}" name="Item"/>
    <tableColumn id="2" xr3:uid="{39E5F248-B1FA-2B40-8714-59BC332FBD60}" name="Amount"/>
    <tableColumn id="3" xr3:uid="{3977A78C-F113-884A-BD3E-2DCCA4EBBCF3}" name="." dataDxfId="10"/>
  </tableColumns>
  <tableStyleInfo name="JAN25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0AED883-9208-2441-872B-194458796E9D}" name="Table_1324654" displayName="Table_1324654" ref="B7:D12">
  <tableColumns count="3">
    <tableColumn id="1" xr3:uid="{AD3693B9-FF24-9946-BCA2-225E58A82DF8}" name="Item"/>
    <tableColumn id="2" xr3:uid="{88835E3C-F1D5-7D44-9367-AAC59E648AAE}" name="Amount"/>
    <tableColumn id="3" xr3:uid="{F3BE23A3-0301-6043-A528-360FFC5CABE0}" name="." dataDxfId="9"/>
  </tableColumns>
  <tableStyleInfo name="JAN25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9936B2E-9BE3-114F-ADD3-27545CAEC5A2}" name="Table_2334755" displayName="Table_2334755" ref="B15:D39">
  <tableColumns count="3">
    <tableColumn id="1" xr3:uid="{B13F22DA-0B42-4447-B43F-992C322E13EC}" name="Item"/>
    <tableColumn id="2" xr3:uid="{20285AE2-48FD-1948-8ADB-2D2CD00B172A}" name="Amount"/>
    <tableColumn id="3" xr3:uid="{EF63DB5C-4D36-0848-9B08-192B092E9E7A}" name="." dataDxfId="8"/>
  </tableColumns>
  <tableStyleInfo name="JAN25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1037F9E-1B21-D24F-9D73-923938602645}" name="Table_1324652" displayName="Table_1324652" ref="B7:D12">
  <tableColumns count="3">
    <tableColumn id="1" xr3:uid="{A1A18BC4-09AC-5542-AC2F-2B810F06D447}" name="Item"/>
    <tableColumn id="2" xr3:uid="{A3DE1066-1ADE-2C4E-8F40-5C3384969138}" name="Amount"/>
    <tableColumn id="3" xr3:uid="{158C6ED0-8110-814A-849D-8247DBE75045}" name="." dataDxfId="7"/>
  </tableColumns>
  <tableStyleInfo name="JAN25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3BAF591-CFFC-434B-B903-10841FF5AE8A}" name="Table_2334753" displayName="Table_2334753" ref="B15:D39">
  <tableColumns count="3">
    <tableColumn id="1" xr3:uid="{36E71FFA-8BE9-094A-B5CE-45AC3F435D06}" name="Item"/>
    <tableColumn id="2" xr3:uid="{5DD80CB3-9049-454F-8083-C269D92A2447}" name="Amount"/>
    <tableColumn id="3" xr3:uid="{2215C533-E46A-CE4A-A4A9-1FA45A946836}" name="." dataDxfId="6"/>
  </tableColumns>
  <tableStyleInfo name="JAN25-style 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0348FF0-FC93-2E41-9C6B-587D144B2EE8}" name="Table_1324650" displayName="Table_1324650" ref="B7:D12">
  <tableColumns count="3">
    <tableColumn id="1" xr3:uid="{4BF11EC0-8D83-6C42-AA8D-835E8A9491C4}" name="Item"/>
    <tableColumn id="2" xr3:uid="{A186E2BC-B718-894A-B16A-0D2A7000095D}" name="Amount"/>
    <tableColumn id="3" xr3:uid="{4A63AD83-2A37-9F46-B1E7-8B4B67A3B2B2}" name="." dataDxfId="5"/>
  </tableColumns>
  <tableStyleInfo name="JAN25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B870CBE-63FE-8849-AC87-67BB4CA264BE}" name="Table_2334751" displayName="Table_2334751" ref="B15:D39">
  <tableColumns count="3">
    <tableColumn id="1" xr3:uid="{0D0A1C93-F566-9F4D-A73E-08429D0E04C3}" name="Item"/>
    <tableColumn id="2" xr3:uid="{F68DCBE0-038A-124E-8FFC-972F2E2402FF}" name="Amount"/>
    <tableColumn id="3" xr3:uid="{9B6C2CBD-9E98-E74D-BB58-2B6FB658EEFC}" name="." dataDxfId="4"/>
  </tableColumns>
  <tableStyleInfo name="JAN25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FB2DFAC-84B3-9F43-ADA4-B1AF49739672}" name="Table_1324648" displayName="Table_1324648" ref="B7:D12">
  <tableColumns count="3">
    <tableColumn id="1" xr3:uid="{21D9A4EE-CFC0-4149-AC59-D2F3A7D1C2AC}" name="Item"/>
    <tableColumn id="2" xr3:uid="{3118C75F-9894-BE47-B64E-25BB065A19D9}" name="Amount"/>
    <tableColumn id="3" xr3:uid="{02202B8E-80BB-7243-80E1-3972ED446D4C}" name="." dataDxfId="3"/>
  </tableColumns>
  <tableStyleInfo name="JAN25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9704677-E727-A24D-99BF-03589CF2DD43}" name="Table_2334749" displayName="Table_2334749" ref="B15:D39">
  <tableColumns count="3">
    <tableColumn id="1" xr3:uid="{21097DAF-E515-2B43-BF12-62C83EDCFAD5}" name="Item"/>
    <tableColumn id="2" xr3:uid="{4B092E9A-F1A2-6645-AC25-B23B4EFE885C}" name="Amount"/>
    <tableColumn id="3" xr3:uid="{E85F1302-ABBD-1140-8BC6-0DE197298E70}" name="." dataDxfId="2"/>
  </tableColumns>
  <tableStyleInfo name="JAN25-style 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C1F62B1-DD25-9041-AD30-00C209016A46}" name="Table_13246" displayName="Table_13246" ref="B7:D12">
  <tableColumns count="3">
    <tableColumn id="1" xr3:uid="{5050BF54-DA3C-C941-808C-F511A45BD0FF}" name="Item"/>
    <tableColumn id="2" xr3:uid="{F17A0B9F-4F4B-6D46-8E32-AB3F53D25515}" name="Amount"/>
    <tableColumn id="3" xr3:uid="{12492C8C-7FA3-2749-A117-A8AB8BF664AD}" name="." dataDxfId="1"/>
  </tableColumns>
  <tableStyleInfo name="JAN25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FCBA4CE-858F-E74C-89F3-D1EC2C5A0012}" name="Table_23347" displayName="Table_23347" ref="B15:D39">
  <tableColumns count="3">
    <tableColumn id="1" xr3:uid="{C7F853ED-2C9F-6846-AFA9-33C6B1A3E443}" name="Item"/>
    <tableColumn id="2" xr3:uid="{22D58F02-224E-2E40-ADAC-33A5CDCF4423}" name="Amount"/>
    <tableColumn id="3" xr3:uid="{499BE7A4-2ECD-0C4B-A364-53CC419F9199}" name="." dataDxfId="0"/>
  </tableColumns>
  <tableStyleInfo name="JAN25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F9C9D"/>
      </a:accent5>
      <a:accent6>
        <a:srgbClr val="9E5E9B"/>
      </a:accent6>
      <a:hlink>
        <a:srgbClr val="5F9C9D"/>
      </a:hlink>
      <a:folHlink>
        <a:srgbClr val="5F9C9D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A3E"/>
    <pageSetUpPr fitToPage="1"/>
  </sheetPr>
  <dimension ref="A1:M995"/>
  <sheetViews>
    <sheetView showGridLines="0" tabSelected="1" workbookViewId="0">
      <selection activeCell="H10" sqref="H10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0.99999999999999989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9</v>
      </c>
      <c r="C8" s="7">
        <v>0</v>
      </c>
      <c r="D8" s="21"/>
      <c r="F8" s="8" t="s">
        <v>11</v>
      </c>
      <c r="G8" s="9"/>
      <c r="H8" s="10">
        <f>SUM(Table_12666[Amount])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 t="s">
        <v>10</v>
      </c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 t="s">
        <v>10</v>
      </c>
      <c r="F10" s="8" t="s">
        <v>13</v>
      </c>
      <c r="G10" s="9"/>
      <c r="H10" s="10">
        <f>SUM(C16:C48)</f>
        <v>26390.979999999996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 t="s">
        <v>10</v>
      </c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 t="s">
        <v>10</v>
      </c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 t="s">
        <v>10</v>
      </c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 t="s">
        <v>10</v>
      </c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 t="s">
        <v>10</v>
      </c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 t="s">
        <v>10</v>
      </c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 t="s">
        <v>10</v>
      </c>
      <c r="K21" s="1"/>
    </row>
    <row r="22" spans="1:13" ht="26.25" customHeight="1" x14ac:dyDescent="0.15">
      <c r="A22" s="6" t="s">
        <v>2</v>
      </c>
      <c r="B22" s="3" t="s">
        <v>23</v>
      </c>
      <c r="C22" s="7"/>
      <c r="D22" s="21" t="s">
        <v>40</v>
      </c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 t="s">
        <v>10</v>
      </c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 t="s">
        <v>10</v>
      </c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/>
      <c r="D25" s="21" t="s">
        <v>40</v>
      </c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 t="s">
        <v>10</v>
      </c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/>
      <c r="D27" s="21" t="s">
        <v>40</v>
      </c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 t="s">
        <v>10</v>
      </c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/>
      <c r="D29" s="21" t="s">
        <v>40</v>
      </c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 t="s">
        <v>10</v>
      </c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/>
      <c r="D31" s="21" t="s">
        <v>40</v>
      </c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 t="s">
        <v>10</v>
      </c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0</v>
      </c>
      <c r="D33" s="21" t="s">
        <v>10</v>
      </c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 t="s">
        <v>10</v>
      </c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/>
      <c r="D35" s="21" t="s">
        <v>40</v>
      </c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 t="s">
        <v>10</v>
      </c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 t="s">
        <v>10</v>
      </c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518.41999999999996</v>
      </c>
      <c r="D39" s="21" t="s">
        <v>40</v>
      </c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sheetProtection selectLockedCells="1" selectUnlockedCells="1"/>
  <mergeCells count="7">
    <mergeCell ref="J4:K4"/>
    <mergeCell ref="L4:M4"/>
    <mergeCell ref="B13:C13"/>
    <mergeCell ref="B14:C14"/>
    <mergeCell ref="B4:C4"/>
    <mergeCell ref="F4:G4"/>
    <mergeCell ref="H4:I4"/>
  </mergeCell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A3E"/>
  </sheetPr>
  <dimension ref="A1:M995"/>
  <sheetViews>
    <sheetView showGridLines="0" workbookViewId="0">
      <selection activeCell="H10" sqref="H10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0.99999999999999989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9</v>
      </c>
      <c r="C8" s="7">
        <v>0</v>
      </c>
      <c r="D8" s="21"/>
      <c r="F8" s="8" t="s">
        <v>11</v>
      </c>
      <c r="G8" s="9"/>
      <c r="H8" s="10">
        <f>SUM(Table_126[Amount])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26390.979999999996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/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/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/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/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/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/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518.41999999999996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3:C13"/>
    <mergeCell ref="B14:C14"/>
    <mergeCell ref="B4:C4"/>
    <mergeCell ref="F4:G4"/>
    <mergeCell ref="H4:I4"/>
  </mergeCell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499984740745262"/>
  </sheetPr>
  <dimension ref="A1:M995"/>
  <sheetViews>
    <sheetView showGridLines="0" workbookViewId="0">
      <selection activeCell="H8" sqref="H8:H10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SUM(Table_1324664[Amount])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SUM(Table_2334765[Amount])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3:C13"/>
    <mergeCell ref="B14:C14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499984740745262"/>
  </sheetPr>
  <dimension ref="A1:M995"/>
  <sheetViews>
    <sheetView showGridLines="0" topLeftCell="A11" workbookViewId="0">
      <selection activeCell="H11" sqref="H11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SUM(C8:C11)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SUM(Table_2334763[Amount])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4"/>
      <c r="D13" s="22"/>
      <c r="K13" s="1"/>
      <c r="L13" s="1"/>
      <c r="M13" s="1"/>
    </row>
    <row r="14" spans="1:13" ht="26.25" customHeight="1" x14ac:dyDescent="0.15">
      <c r="B14" s="26" t="s">
        <v>16</v>
      </c>
      <c r="C14" s="26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3:C13"/>
    <mergeCell ref="B14:C14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M995"/>
  <sheetViews>
    <sheetView showGridLines="0" topLeftCell="A11" workbookViewId="0">
      <selection activeCell="H11" sqref="H11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SUM(Table_1324660[Amount])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SUM(Table_2334761[Amount])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A1:M995"/>
  <sheetViews>
    <sheetView showGridLines="0" workbookViewId="0">
      <selection activeCell="H10" sqref="H10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SUM('JUN26'!$C$8:$C$12)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0.499984740745262"/>
  </sheetPr>
  <dimension ref="A1:M995"/>
  <sheetViews>
    <sheetView showGridLines="0" workbookViewId="0">
      <selection activeCell="H10" sqref="H10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SUM('JUL26'!$C$8:$C$12)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0.499984740745262"/>
  </sheetPr>
  <dimension ref="A1:M995"/>
  <sheetViews>
    <sheetView showGridLines="0" workbookViewId="0">
      <selection activeCell="H9" sqref="H9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SUM(Table_1324654[Amount])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</sheetPr>
  <dimension ref="A1:M995"/>
  <sheetViews>
    <sheetView showGridLines="0" workbookViewId="0">
      <selection activeCell="H10" sqref="H10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SUM(C8:C11)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 tint="0.499984740745262"/>
  </sheetPr>
  <dimension ref="A1:M995"/>
  <sheetViews>
    <sheetView showGridLines="0" workbookViewId="0">
      <selection activeCell="H9" sqref="H9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SUM(C8:C11)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 tint="0.499984740745262"/>
  </sheetPr>
  <dimension ref="A1:M995"/>
  <sheetViews>
    <sheetView showGridLines="0" workbookViewId="0">
      <selection activeCell="H9" sqref="H9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SUM(Table_1324648[Amount])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A1:M995"/>
  <sheetViews>
    <sheetView showGridLines="0" workbookViewId="0">
      <selection activeCell="H9" sqref="H9"/>
    </sheetView>
  </sheetViews>
  <sheetFormatPr baseColWidth="10" defaultColWidth="14.5" defaultRowHeight="15" customHeight="1" x14ac:dyDescent="0.15"/>
  <cols>
    <col min="1" max="1" width="2.33203125" bestFit="1" customWidth="1"/>
    <col min="2" max="2" width="35.6640625" customWidth="1"/>
    <col min="3" max="3" width="22.5" customWidth="1"/>
    <col min="4" max="4" width="3.1640625" style="19" customWidth="1"/>
    <col min="5" max="5" width="1" customWidth="1"/>
    <col min="6" max="7" width="25.5" customWidth="1"/>
    <col min="8" max="8" width="14.33203125" customWidth="1"/>
    <col min="9" max="9" width="1" customWidth="1"/>
    <col min="10" max="10" width="5.5" customWidth="1"/>
    <col min="11" max="12" width="13.6640625" customWidth="1"/>
    <col min="13" max="13" width="16.1640625" customWidth="1"/>
    <col min="14" max="26" width="8.6640625" customWidth="1"/>
  </cols>
  <sheetData>
    <row r="1" spans="1:13" ht="15" customHeight="1" x14ac:dyDescent="0.15">
      <c r="K1" s="1"/>
      <c r="L1" s="1"/>
      <c r="M1" s="1"/>
    </row>
    <row r="2" spans="1:13" ht="84" customHeight="1" x14ac:dyDescent="0.15">
      <c r="K2" s="1"/>
      <c r="L2" s="1"/>
      <c r="M2" s="1"/>
    </row>
    <row r="3" spans="1:13" ht="1.5" customHeight="1" x14ac:dyDescent="0.15">
      <c r="K3" s="1"/>
      <c r="L3" s="1"/>
      <c r="M3" s="1"/>
    </row>
    <row r="4" spans="1:13" ht="26.25" customHeight="1" x14ac:dyDescent="0.15">
      <c r="B4" s="26" t="s">
        <v>0</v>
      </c>
      <c r="C4" s="27"/>
      <c r="D4" s="20"/>
      <c r="F4" s="26" t="s">
        <v>1</v>
      </c>
      <c r="G4" s="27"/>
      <c r="H4" s="28">
        <f>H10/H8</f>
        <v>2.5914528372951668</v>
      </c>
      <c r="I4" s="27"/>
      <c r="J4" s="29" t="s">
        <v>2</v>
      </c>
      <c r="K4" s="27"/>
      <c r="L4" s="29" t="s">
        <v>3</v>
      </c>
      <c r="M4" s="27"/>
    </row>
    <row r="5" spans="1:13" ht="1.5" customHeight="1" x14ac:dyDescent="0.15">
      <c r="K5" s="1"/>
      <c r="L5" s="1"/>
      <c r="M5" s="1"/>
    </row>
    <row r="6" spans="1:13" ht="5.25" customHeight="1" x14ac:dyDescent="0.15">
      <c r="K6" s="2" t="s">
        <v>2</v>
      </c>
      <c r="L6" s="2" t="s">
        <v>4</v>
      </c>
      <c r="M6" s="2" t="s">
        <v>5</v>
      </c>
    </row>
    <row r="7" spans="1:13" ht="26.25" customHeight="1" x14ac:dyDescent="0.15">
      <c r="B7" s="3" t="s">
        <v>6</v>
      </c>
      <c r="C7" s="4" t="s">
        <v>7</v>
      </c>
      <c r="D7" s="4" t="s">
        <v>41</v>
      </c>
      <c r="F7" s="5" t="s">
        <v>8</v>
      </c>
      <c r="G7" s="5"/>
      <c r="H7" s="5"/>
      <c r="I7" s="5"/>
      <c r="J7" s="5"/>
      <c r="K7" s="5"/>
      <c r="L7" s="5"/>
      <c r="M7" s="5"/>
    </row>
    <row r="8" spans="1:13" ht="26.25" customHeight="1" x14ac:dyDescent="0.15">
      <c r="A8" s="6" t="s">
        <v>2</v>
      </c>
      <c r="B8" s="3" t="s">
        <v>44</v>
      </c>
      <c r="C8" s="7">
        <v>0</v>
      </c>
      <c r="D8" s="21"/>
      <c r="F8" s="8" t="s">
        <v>11</v>
      </c>
      <c r="G8" s="9"/>
      <c r="H8" s="10">
        <f>SUM(Table_13246[Amount])</f>
        <v>26390.98</v>
      </c>
      <c r="I8" s="10"/>
      <c r="J8" s="10"/>
      <c r="K8" s="10"/>
      <c r="L8" s="10"/>
      <c r="M8" s="10"/>
    </row>
    <row r="9" spans="1:13" ht="26.25" customHeight="1" x14ac:dyDescent="0.15">
      <c r="A9" s="6" t="s">
        <v>2</v>
      </c>
      <c r="B9" s="3" t="s">
        <v>12</v>
      </c>
      <c r="C9" s="7">
        <f>9000+2000+1000+1000+1000+2000+1000+1700+1000+1000+2300</f>
        <v>23000</v>
      </c>
      <c r="D9" s="21"/>
      <c r="F9" s="11"/>
      <c r="G9" s="11"/>
      <c r="H9" s="11"/>
      <c r="K9" s="12"/>
      <c r="L9" s="12"/>
      <c r="M9" s="12"/>
    </row>
    <row r="10" spans="1:13" ht="26.25" customHeight="1" x14ac:dyDescent="0.15">
      <c r="A10" s="6" t="s">
        <v>2</v>
      </c>
      <c r="B10" s="3" t="s">
        <v>42</v>
      </c>
      <c r="C10" s="7">
        <v>1500</v>
      </c>
      <c r="D10" s="21"/>
      <c r="F10" s="8" t="s">
        <v>13</v>
      </c>
      <c r="G10" s="9"/>
      <c r="H10" s="10">
        <f>SUM(C16:C48)</f>
        <v>68390.98</v>
      </c>
      <c r="I10" s="10"/>
      <c r="J10" s="10"/>
      <c r="K10" s="10"/>
      <c r="L10" s="10"/>
      <c r="M10" s="10"/>
    </row>
    <row r="11" spans="1:13" ht="26.25" customHeight="1" x14ac:dyDescent="0.15">
      <c r="A11" s="6" t="s">
        <v>2</v>
      </c>
      <c r="B11" s="3" t="s">
        <v>14</v>
      </c>
      <c r="C11" s="7">
        <v>1890.98</v>
      </c>
      <c r="D11" s="21"/>
      <c r="F11" s="3"/>
      <c r="H11" s="7"/>
      <c r="K11" s="12"/>
      <c r="L11" s="12"/>
      <c r="M11" s="12"/>
    </row>
    <row r="12" spans="1:13" ht="25.5" customHeight="1" x14ac:dyDescent="0.15">
      <c r="B12" s="3"/>
      <c r="C12" s="7"/>
      <c r="D12" s="21"/>
      <c r="F12" s="13" t="s">
        <v>15</v>
      </c>
      <c r="G12" s="14"/>
      <c r="H12" s="15">
        <f>+H8-H10</f>
        <v>-42000</v>
      </c>
      <c r="I12" s="15"/>
      <c r="J12" s="15"/>
      <c r="K12" s="15"/>
      <c r="L12" s="15"/>
      <c r="M12" s="15"/>
    </row>
    <row r="13" spans="1:13" ht="16.5" customHeight="1" x14ac:dyDescent="0.15">
      <c r="B13" s="24"/>
      <c r="C13" s="25"/>
      <c r="D13" s="22"/>
      <c r="K13" s="1"/>
      <c r="L13" s="1"/>
      <c r="M13" s="1"/>
    </row>
    <row r="14" spans="1:13" ht="26.25" customHeight="1" x14ac:dyDescent="0.15">
      <c r="B14" s="26" t="s">
        <v>16</v>
      </c>
      <c r="C14" s="27"/>
      <c r="D14" s="20"/>
      <c r="K14" s="1"/>
    </row>
    <row r="15" spans="1:13" ht="26.25" customHeight="1" x14ac:dyDescent="0.15">
      <c r="B15" s="3" t="s">
        <v>6</v>
      </c>
      <c r="C15" s="4" t="s">
        <v>7</v>
      </c>
      <c r="D15" s="4" t="s">
        <v>41</v>
      </c>
      <c r="K15" s="1"/>
    </row>
    <row r="16" spans="1:13" ht="26.25" customHeight="1" x14ac:dyDescent="0.15">
      <c r="A16" s="6" t="s">
        <v>2</v>
      </c>
      <c r="B16" s="3" t="s">
        <v>17</v>
      </c>
      <c r="C16" s="7">
        <v>1763.66</v>
      </c>
      <c r="D16" s="21"/>
      <c r="K16" s="16"/>
    </row>
    <row r="17" spans="1:13" ht="26.25" customHeight="1" x14ac:dyDescent="0.15">
      <c r="A17" s="6" t="s">
        <v>2</v>
      </c>
      <c r="B17" s="3" t="s">
        <v>18</v>
      </c>
      <c r="C17" s="7">
        <f>7167.04-1595+366</f>
        <v>5938.04</v>
      </c>
      <c r="D17" s="21"/>
      <c r="K17" s="1"/>
    </row>
    <row r="18" spans="1:13" ht="26.25" customHeight="1" x14ac:dyDescent="0.15">
      <c r="A18" s="6" t="s">
        <v>2</v>
      </c>
      <c r="B18" s="3" t="s">
        <v>19</v>
      </c>
      <c r="C18" s="7">
        <f>595+75.77</f>
        <v>670.77</v>
      </c>
      <c r="D18" s="21"/>
      <c r="K18" s="1"/>
    </row>
    <row r="19" spans="1:13" ht="26.25" customHeight="1" x14ac:dyDescent="0.15">
      <c r="A19" s="6" t="s">
        <v>2</v>
      </c>
      <c r="B19" s="3" t="s">
        <v>20</v>
      </c>
      <c r="C19" s="7">
        <v>114.32</v>
      </c>
      <c r="D19" s="21"/>
      <c r="K19" s="1"/>
    </row>
    <row r="20" spans="1:13" ht="26.25" customHeight="1" x14ac:dyDescent="0.15">
      <c r="A20" s="6" t="s">
        <v>2</v>
      </c>
      <c r="B20" s="3" t="s">
        <v>21</v>
      </c>
      <c r="C20" s="7">
        <f>+C11</f>
        <v>1890.98</v>
      </c>
      <c r="D20" s="21"/>
      <c r="K20" s="1"/>
    </row>
    <row r="21" spans="1:13" ht="26.25" customHeight="1" x14ac:dyDescent="0.15">
      <c r="A21" s="6" t="s">
        <v>2</v>
      </c>
      <c r="B21" s="3" t="s">
        <v>22</v>
      </c>
      <c r="C21" s="7">
        <v>2722</v>
      </c>
      <c r="D21" s="21"/>
      <c r="K21" s="1"/>
    </row>
    <row r="22" spans="1:13" ht="26.25" customHeight="1" x14ac:dyDescent="0.15">
      <c r="A22" s="6" t="s">
        <v>2</v>
      </c>
      <c r="B22" s="3" t="s">
        <v>23</v>
      </c>
      <c r="C22" s="7">
        <v>1468.42</v>
      </c>
      <c r="D22" s="21"/>
      <c r="K22" s="1"/>
      <c r="L22" s="1"/>
      <c r="M22" s="1"/>
    </row>
    <row r="23" spans="1:13" ht="26.25" customHeight="1" x14ac:dyDescent="0.15">
      <c r="A23" s="6" t="s">
        <v>2</v>
      </c>
      <c r="B23" s="3" t="s">
        <v>24</v>
      </c>
      <c r="C23" s="7">
        <f>622.21</f>
        <v>622.21</v>
      </c>
      <c r="D23" s="21"/>
      <c r="K23" s="1"/>
      <c r="L23" s="1"/>
      <c r="M23" s="1"/>
    </row>
    <row r="24" spans="1:13" ht="26.25" customHeight="1" x14ac:dyDescent="0.15">
      <c r="A24" s="6" t="s">
        <v>2</v>
      </c>
      <c r="B24" s="3" t="s">
        <v>25</v>
      </c>
      <c r="C24" s="7">
        <f>1.98+2.2+0.07+15+5+5+(69+59.88+180+0.01+65)+4</f>
        <v>407.14</v>
      </c>
      <c r="D24" s="21"/>
      <c r="K24" s="1"/>
      <c r="L24" s="1"/>
      <c r="M24" s="1"/>
    </row>
    <row r="25" spans="1:13" ht="26.25" customHeight="1" x14ac:dyDescent="0.15">
      <c r="A25" s="6" t="s">
        <v>2</v>
      </c>
      <c r="B25" s="3" t="s">
        <v>26</v>
      </c>
      <c r="C25" s="7">
        <v>14750</v>
      </c>
      <c r="D25" s="21"/>
      <c r="K25" s="1"/>
      <c r="L25" s="1"/>
      <c r="M25" s="1"/>
    </row>
    <row r="26" spans="1:13" ht="26.25" customHeight="1" x14ac:dyDescent="0.15">
      <c r="A26" s="6" t="s">
        <v>2</v>
      </c>
      <c r="B26" s="3" t="s">
        <v>27</v>
      </c>
      <c r="C26" s="7">
        <v>847.34</v>
      </c>
      <c r="D26" s="21"/>
      <c r="K26" s="1"/>
      <c r="L26" s="1"/>
      <c r="M26" s="1"/>
    </row>
    <row r="27" spans="1:13" ht="26.25" customHeight="1" x14ac:dyDescent="0.15">
      <c r="A27" s="6" t="s">
        <v>2</v>
      </c>
      <c r="B27" s="3" t="s">
        <v>28</v>
      </c>
      <c r="C27" s="7">
        <v>2500</v>
      </c>
      <c r="D27" s="21"/>
      <c r="K27" s="1"/>
      <c r="L27" s="1"/>
      <c r="M27" s="1"/>
    </row>
    <row r="28" spans="1:13" ht="26.25" customHeight="1" x14ac:dyDescent="0.15">
      <c r="A28" s="6" t="s">
        <v>2</v>
      </c>
      <c r="B28" s="3" t="s">
        <v>29</v>
      </c>
      <c r="C28" s="7">
        <v>328.08</v>
      </c>
      <c r="D28" s="21"/>
      <c r="K28" s="1"/>
      <c r="L28" s="1"/>
      <c r="M28" s="1"/>
    </row>
    <row r="29" spans="1:13" ht="26.25" customHeight="1" x14ac:dyDescent="0.15">
      <c r="A29" s="6" t="s">
        <v>2</v>
      </c>
      <c r="B29" s="3" t="s">
        <v>30</v>
      </c>
      <c r="C29" s="7">
        <v>8000</v>
      </c>
      <c r="D29" s="21"/>
      <c r="K29" s="1"/>
      <c r="L29" s="1"/>
      <c r="M29" s="1"/>
    </row>
    <row r="30" spans="1:13" ht="26.25" customHeight="1" x14ac:dyDescent="0.15">
      <c r="A30" s="6" t="s">
        <v>2</v>
      </c>
      <c r="B30" s="3" t="s">
        <v>31</v>
      </c>
      <c r="C30" s="7">
        <v>534.9</v>
      </c>
      <c r="D30" s="21"/>
      <c r="K30" s="1"/>
      <c r="L30" s="1"/>
      <c r="M30" s="1"/>
    </row>
    <row r="31" spans="1:13" ht="26.25" customHeight="1" x14ac:dyDescent="0.15">
      <c r="A31" s="6" t="s">
        <v>2</v>
      </c>
      <c r="B31" s="3" t="s">
        <v>32</v>
      </c>
      <c r="C31" s="7">
        <f>8*350</f>
        <v>2800</v>
      </c>
      <c r="D31" s="21"/>
      <c r="K31" s="1"/>
      <c r="L31" s="1"/>
      <c r="M31" s="1"/>
    </row>
    <row r="32" spans="1:13" ht="26.25" customHeight="1" x14ac:dyDescent="0.15">
      <c r="A32" s="6" t="s">
        <v>2</v>
      </c>
      <c r="B32" s="3" t="s">
        <v>33</v>
      </c>
      <c r="C32" s="7">
        <v>1440.71</v>
      </c>
      <c r="D32" s="21"/>
      <c r="K32" s="1"/>
      <c r="L32" s="1"/>
      <c r="M32" s="1"/>
    </row>
    <row r="33" spans="1:13" ht="26.25" customHeight="1" x14ac:dyDescent="0.15">
      <c r="A33" s="6" t="s">
        <v>2</v>
      </c>
      <c r="B33" s="3" t="s">
        <v>34</v>
      </c>
      <c r="C33" s="7">
        <v>7500</v>
      </c>
      <c r="D33" s="21"/>
      <c r="K33" s="1"/>
      <c r="L33" s="1"/>
      <c r="M33" s="1"/>
    </row>
    <row r="34" spans="1:13" ht="26.25" customHeight="1" x14ac:dyDescent="0.15">
      <c r="A34" s="6" t="s">
        <v>2</v>
      </c>
      <c r="B34" s="3" t="s">
        <v>35</v>
      </c>
      <c r="C34" s="7">
        <v>169.38</v>
      </c>
      <c r="D34" s="21"/>
      <c r="K34" s="1"/>
      <c r="L34" s="1"/>
      <c r="M34" s="1"/>
    </row>
    <row r="35" spans="1:13" ht="26.25" customHeight="1" x14ac:dyDescent="0.15">
      <c r="A35" s="6" t="s">
        <v>2</v>
      </c>
      <c r="B35" s="3" t="s">
        <v>36</v>
      </c>
      <c r="C35" s="7">
        <v>3000</v>
      </c>
      <c r="D35" s="21"/>
      <c r="K35" s="1"/>
      <c r="L35" s="1"/>
      <c r="M35" s="1"/>
    </row>
    <row r="36" spans="1:13" ht="26.25" customHeight="1" x14ac:dyDescent="0.15">
      <c r="A36" s="6" t="s">
        <v>2</v>
      </c>
      <c r="B36" s="3" t="s">
        <v>37</v>
      </c>
      <c r="C36" s="7">
        <f>10845/2</f>
        <v>5422.5</v>
      </c>
      <c r="D36" s="21"/>
      <c r="K36" s="1"/>
      <c r="L36" s="1"/>
      <c r="M36" s="1"/>
    </row>
    <row r="37" spans="1:13" ht="26.25" customHeight="1" x14ac:dyDescent="0.15">
      <c r="A37" s="6" t="s">
        <v>2</v>
      </c>
      <c r="B37" s="3" t="s">
        <v>38</v>
      </c>
      <c r="C37" s="7">
        <v>1212</v>
      </c>
      <c r="D37" s="21"/>
      <c r="K37" s="1"/>
      <c r="L37" s="1"/>
      <c r="M37" s="1"/>
    </row>
    <row r="38" spans="1:13" ht="26.25" customHeight="1" x14ac:dyDescent="0.15">
      <c r="A38" s="6" t="s">
        <v>2</v>
      </c>
      <c r="B38" s="3" t="s">
        <v>39</v>
      </c>
      <c r="C38" s="7">
        <f>1000+40+324+183-183-75.47+500</f>
        <v>1788.53</v>
      </c>
      <c r="D38" s="21"/>
      <c r="K38" s="1"/>
      <c r="L38" s="1"/>
      <c r="M38" s="1"/>
    </row>
    <row r="39" spans="1:13" ht="26.25" customHeight="1" x14ac:dyDescent="0.15">
      <c r="A39" s="23" t="s">
        <v>2</v>
      </c>
      <c r="B39" s="3" t="s">
        <v>43</v>
      </c>
      <c r="C39" s="7">
        <v>2500</v>
      </c>
      <c r="D39" s="21"/>
      <c r="F39" s="17"/>
      <c r="K39" s="1"/>
      <c r="L39" s="1"/>
      <c r="M39" s="1"/>
    </row>
    <row r="40" spans="1:13" ht="26.25" customHeight="1" x14ac:dyDescent="0.15">
      <c r="F40" s="17"/>
      <c r="K40" s="1"/>
      <c r="L40" s="1"/>
      <c r="M40" s="1"/>
    </row>
    <row r="41" spans="1:13" ht="26.25" customHeight="1" x14ac:dyDescent="0.15">
      <c r="K41" s="1"/>
      <c r="L41" s="1"/>
      <c r="M41" s="1"/>
    </row>
    <row r="42" spans="1:13" ht="26.25" customHeight="1" x14ac:dyDescent="0.15">
      <c r="F42" s="18"/>
      <c r="K42" s="1"/>
      <c r="L42" s="1"/>
      <c r="M42" s="1"/>
    </row>
    <row r="43" spans="1:13" ht="26.25" customHeight="1" x14ac:dyDescent="0.15">
      <c r="K43" s="1"/>
      <c r="L43" s="1"/>
      <c r="M43" s="1"/>
    </row>
    <row r="44" spans="1:13" ht="26.25" customHeight="1" x14ac:dyDescent="0.15">
      <c r="K44" s="1"/>
      <c r="L44" s="1"/>
      <c r="M44" s="1"/>
    </row>
    <row r="45" spans="1:13" ht="26.25" customHeight="1" x14ac:dyDescent="0.15">
      <c r="K45" s="1"/>
      <c r="L45" s="1"/>
      <c r="M45" s="1"/>
    </row>
    <row r="46" spans="1:13" ht="26.25" customHeight="1" x14ac:dyDescent="0.15">
      <c r="K46" s="1"/>
      <c r="L46" s="1"/>
      <c r="M46" s="1"/>
    </row>
    <row r="47" spans="1:13" ht="26.25" customHeight="1" x14ac:dyDescent="0.15">
      <c r="K47" s="1"/>
      <c r="L47" s="1"/>
      <c r="M47" s="1"/>
    </row>
    <row r="48" spans="1:13" ht="26.25" customHeight="1" x14ac:dyDescent="0.15">
      <c r="K48" s="1"/>
      <c r="L48" s="1"/>
      <c r="M48" s="1"/>
    </row>
    <row r="49" spans="11:13" ht="26.25" customHeight="1" x14ac:dyDescent="0.15">
      <c r="K49" s="1"/>
      <c r="L49" s="1"/>
      <c r="M49" s="1"/>
    </row>
    <row r="50" spans="11:13" ht="26.25" customHeight="1" x14ac:dyDescent="0.15">
      <c r="K50" s="1"/>
      <c r="L50" s="1"/>
      <c r="M50" s="1"/>
    </row>
    <row r="51" spans="11:13" ht="26.25" customHeight="1" x14ac:dyDescent="0.15">
      <c r="K51" s="1"/>
      <c r="L51" s="1"/>
      <c r="M51" s="1"/>
    </row>
    <row r="52" spans="11:13" ht="26.25" customHeight="1" x14ac:dyDescent="0.15">
      <c r="K52" s="1"/>
      <c r="L52" s="1"/>
      <c r="M52" s="1"/>
    </row>
    <row r="53" spans="11:13" ht="26.25" customHeight="1" x14ac:dyDescent="0.15">
      <c r="K53" s="1"/>
      <c r="L53" s="1"/>
      <c r="M53" s="1"/>
    </row>
    <row r="54" spans="11:13" ht="26.25" customHeight="1" x14ac:dyDescent="0.15">
      <c r="K54" s="1"/>
      <c r="L54" s="1"/>
      <c r="M54" s="1"/>
    </row>
    <row r="55" spans="11:13" ht="26.25" customHeight="1" x14ac:dyDescent="0.15">
      <c r="K55" s="1"/>
      <c r="L55" s="1"/>
      <c r="M55" s="1"/>
    </row>
    <row r="56" spans="11:13" ht="26.25" customHeight="1" x14ac:dyDescent="0.15">
      <c r="K56" s="1"/>
      <c r="L56" s="1"/>
      <c r="M56" s="1"/>
    </row>
    <row r="57" spans="11:13" ht="26.25" customHeight="1" x14ac:dyDescent="0.15">
      <c r="K57" s="1"/>
      <c r="L57" s="1"/>
      <c r="M57" s="1"/>
    </row>
    <row r="58" spans="11:13" ht="26.25" customHeight="1" x14ac:dyDescent="0.15">
      <c r="K58" s="1"/>
      <c r="L58" s="1"/>
      <c r="M58" s="1"/>
    </row>
    <row r="59" spans="11:13" ht="26.25" customHeight="1" x14ac:dyDescent="0.15">
      <c r="K59" s="1"/>
      <c r="L59" s="1"/>
      <c r="M59" s="1"/>
    </row>
    <row r="60" spans="11:13" ht="26.25" customHeight="1" x14ac:dyDescent="0.15">
      <c r="K60" s="1"/>
      <c r="L60" s="1"/>
      <c r="M60" s="1"/>
    </row>
    <row r="61" spans="11:13" ht="26.25" customHeight="1" x14ac:dyDescent="0.15">
      <c r="K61" s="1"/>
      <c r="L61" s="1"/>
      <c r="M61" s="1"/>
    </row>
    <row r="62" spans="11:13" ht="26.25" customHeight="1" x14ac:dyDescent="0.15">
      <c r="K62" s="1"/>
      <c r="L62" s="1"/>
      <c r="M62" s="1"/>
    </row>
    <row r="63" spans="11:13" ht="26.25" customHeight="1" x14ac:dyDescent="0.15">
      <c r="K63" s="1"/>
      <c r="L63" s="1"/>
      <c r="M63" s="1"/>
    </row>
    <row r="64" spans="11:13" ht="26.25" customHeight="1" x14ac:dyDescent="0.15">
      <c r="K64" s="1"/>
      <c r="L64" s="1"/>
      <c r="M64" s="1"/>
    </row>
    <row r="65" spans="11:13" ht="26.25" customHeight="1" x14ac:dyDescent="0.15">
      <c r="K65" s="1"/>
      <c r="L65" s="1"/>
      <c r="M65" s="1"/>
    </row>
    <row r="66" spans="11:13" ht="26.25" customHeight="1" x14ac:dyDescent="0.15">
      <c r="K66" s="1"/>
      <c r="L66" s="1"/>
      <c r="M66" s="1"/>
    </row>
    <row r="67" spans="11:13" ht="26.25" customHeight="1" x14ac:dyDescent="0.15">
      <c r="K67" s="1"/>
      <c r="L67" s="1"/>
      <c r="M67" s="1"/>
    </row>
    <row r="68" spans="11:13" ht="26.25" customHeight="1" x14ac:dyDescent="0.15">
      <c r="K68" s="1"/>
      <c r="L68" s="1"/>
      <c r="M68" s="1"/>
    </row>
    <row r="69" spans="11:13" ht="26.25" customHeight="1" x14ac:dyDescent="0.15">
      <c r="K69" s="1"/>
      <c r="L69" s="1"/>
      <c r="M69" s="1"/>
    </row>
    <row r="70" spans="11:13" ht="26.25" customHeight="1" x14ac:dyDescent="0.15">
      <c r="K70" s="1"/>
      <c r="L70" s="1"/>
      <c r="M70" s="1"/>
    </row>
    <row r="71" spans="11:13" ht="26.25" customHeight="1" x14ac:dyDescent="0.15">
      <c r="K71" s="1"/>
      <c r="L71" s="1"/>
      <c r="M71" s="1"/>
    </row>
    <row r="72" spans="11:13" ht="26.25" customHeight="1" x14ac:dyDescent="0.15">
      <c r="K72" s="1"/>
      <c r="L72" s="1"/>
      <c r="M72" s="1"/>
    </row>
    <row r="73" spans="11:13" ht="26.25" customHeight="1" x14ac:dyDescent="0.15">
      <c r="K73" s="1"/>
      <c r="L73" s="1"/>
      <c r="M73" s="1"/>
    </row>
    <row r="74" spans="11:13" ht="26.25" customHeight="1" x14ac:dyDescent="0.15">
      <c r="K74" s="1"/>
      <c r="L74" s="1"/>
      <c r="M74" s="1"/>
    </row>
    <row r="75" spans="11:13" ht="26.25" customHeight="1" x14ac:dyDescent="0.15">
      <c r="K75" s="1"/>
      <c r="L75" s="1"/>
      <c r="M75" s="1"/>
    </row>
    <row r="76" spans="11:13" ht="26.25" customHeight="1" x14ac:dyDescent="0.15">
      <c r="K76" s="1"/>
      <c r="L76" s="1"/>
      <c r="M76" s="1"/>
    </row>
    <row r="77" spans="11:13" ht="26.25" customHeight="1" x14ac:dyDescent="0.15">
      <c r="K77" s="1"/>
      <c r="L77" s="1"/>
      <c r="M77" s="1"/>
    </row>
    <row r="78" spans="11:13" ht="26.25" customHeight="1" x14ac:dyDescent="0.15">
      <c r="K78" s="1"/>
      <c r="L78" s="1"/>
      <c r="M78" s="1"/>
    </row>
    <row r="79" spans="11:13" ht="26.25" customHeight="1" x14ac:dyDescent="0.15">
      <c r="K79" s="1"/>
      <c r="L79" s="1"/>
      <c r="M79" s="1"/>
    </row>
    <row r="80" spans="11:13" ht="26.25" customHeight="1" x14ac:dyDescent="0.15">
      <c r="K80" s="1"/>
      <c r="L80" s="1"/>
      <c r="M80" s="1"/>
    </row>
    <row r="81" spans="11:13" ht="26.25" customHeight="1" x14ac:dyDescent="0.15">
      <c r="K81" s="1"/>
      <c r="L81" s="1"/>
      <c r="M81" s="1"/>
    </row>
    <row r="82" spans="11:13" ht="26.25" customHeight="1" x14ac:dyDescent="0.15">
      <c r="K82" s="1"/>
      <c r="L82" s="1"/>
      <c r="M82" s="1"/>
    </row>
    <row r="83" spans="11:13" ht="26.25" customHeight="1" x14ac:dyDescent="0.15">
      <c r="K83" s="1"/>
      <c r="L83" s="1"/>
      <c r="M83" s="1"/>
    </row>
    <row r="84" spans="11:13" ht="26.25" customHeight="1" x14ac:dyDescent="0.15">
      <c r="K84" s="1"/>
      <c r="L84" s="1"/>
      <c r="M84" s="1"/>
    </row>
    <row r="85" spans="11:13" ht="26.25" customHeight="1" x14ac:dyDescent="0.15">
      <c r="K85" s="1"/>
      <c r="L85" s="1"/>
      <c r="M85" s="1"/>
    </row>
    <row r="86" spans="11:13" ht="26.25" customHeight="1" x14ac:dyDescent="0.15">
      <c r="K86" s="1"/>
      <c r="L86" s="1"/>
      <c r="M86" s="1"/>
    </row>
    <row r="87" spans="11:13" ht="26.25" customHeight="1" x14ac:dyDescent="0.15">
      <c r="K87" s="1"/>
      <c r="L87" s="1"/>
      <c r="M87" s="1"/>
    </row>
    <row r="88" spans="11:13" ht="26.25" customHeight="1" x14ac:dyDescent="0.15">
      <c r="K88" s="1"/>
      <c r="L88" s="1"/>
      <c r="M88" s="1"/>
    </row>
    <row r="89" spans="11:13" ht="26.25" customHeight="1" x14ac:dyDescent="0.15">
      <c r="K89" s="1"/>
      <c r="L89" s="1"/>
      <c r="M89" s="1"/>
    </row>
    <row r="90" spans="11:13" ht="26.25" customHeight="1" x14ac:dyDescent="0.15">
      <c r="K90" s="1"/>
      <c r="L90" s="1"/>
      <c r="M90" s="1"/>
    </row>
    <row r="91" spans="11:13" ht="26.25" customHeight="1" x14ac:dyDescent="0.15">
      <c r="K91" s="1"/>
      <c r="L91" s="1"/>
      <c r="M91" s="1"/>
    </row>
    <row r="92" spans="11:13" ht="26.25" customHeight="1" x14ac:dyDescent="0.15">
      <c r="K92" s="1"/>
      <c r="L92" s="1"/>
      <c r="M92" s="1"/>
    </row>
    <row r="93" spans="11:13" ht="26.25" customHeight="1" x14ac:dyDescent="0.15">
      <c r="K93" s="1"/>
      <c r="L93" s="1"/>
      <c r="M93" s="1"/>
    </row>
    <row r="94" spans="11:13" ht="26.25" customHeight="1" x14ac:dyDescent="0.15">
      <c r="K94" s="1"/>
      <c r="L94" s="1"/>
      <c r="M94" s="1"/>
    </row>
    <row r="95" spans="11:13" ht="26.25" customHeight="1" x14ac:dyDescent="0.15">
      <c r="K95" s="1"/>
      <c r="L95" s="1"/>
      <c r="M95" s="1"/>
    </row>
    <row r="96" spans="11:13" ht="26.25" customHeight="1" x14ac:dyDescent="0.15">
      <c r="K96" s="1"/>
      <c r="L96" s="1"/>
      <c r="M96" s="1"/>
    </row>
    <row r="97" spans="11:13" ht="26.25" customHeight="1" x14ac:dyDescent="0.15">
      <c r="K97" s="1"/>
      <c r="L97" s="1"/>
      <c r="M97" s="1"/>
    </row>
    <row r="98" spans="11:13" ht="26.25" customHeight="1" x14ac:dyDescent="0.15">
      <c r="K98" s="1"/>
      <c r="L98" s="1"/>
      <c r="M98" s="1"/>
    </row>
    <row r="99" spans="11:13" ht="26.25" customHeight="1" x14ac:dyDescent="0.15">
      <c r="K99" s="1"/>
      <c r="L99" s="1"/>
      <c r="M99" s="1"/>
    </row>
    <row r="100" spans="11:13" ht="26.25" customHeight="1" x14ac:dyDescent="0.15">
      <c r="K100" s="1"/>
      <c r="L100" s="1"/>
      <c r="M100" s="1"/>
    </row>
    <row r="101" spans="11:13" ht="26.25" customHeight="1" x14ac:dyDescent="0.15">
      <c r="K101" s="1"/>
      <c r="L101" s="1"/>
      <c r="M101" s="1"/>
    </row>
    <row r="102" spans="11:13" ht="26.25" customHeight="1" x14ac:dyDescent="0.15">
      <c r="K102" s="1"/>
      <c r="L102" s="1"/>
      <c r="M102" s="1"/>
    </row>
    <row r="103" spans="11:13" ht="26.25" customHeight="1" x14ac:dyDescent="0.15">
      <c r="K103" s="1"/>
      <c r="L103" s="1"/>
      <c r="M103" s="1"/>
    </row>
    <row r="104" spans="11:13" ht="26.25" customHeight="1" x14ac:dyDescent="0.15">
      <c r="K104" s="1"/>
      <c r="L104" s="1"/>
      <c r="M104" s="1"/>
    </row>
    <row r="105" spans="11:13" ht="26.25" customHeight="1" x14ac:dyDescent="0.15">
      <c r="K105" s="1"/>
      <c r="L105" s="1"/>
      <c r="M105" s="1"/>
    </row>
    <row r="106" spans="11:13" ht="26.25" customHeight="1" x14ac:dyDescent="0.15">
      <c r="K106" s="1"/>
      <c r="L106" s="1"/>
      <c r="M106" s="1"/>
    </row>
    <row r="107" spans="11:13" ht="26.25" customHeight="1" x14ac:dyDescent="0.15">
      <c r="K107" s="1"/>
      <c r="L107" s="1"/>
      <c r="M107" s="1"/>
    </row>
    <row r="108" spans="11:13" ht="26.25" customHeight="1" x14ac:dyDescent="0.15">
      <c r="K108" s="1"/>
      <c r="L108" s="1"/>
      <c r="M108" s="1"/>
    </row>
    <row r="109" spans="11:13" ht="26.25" customHeight="1" x14ac:dyDescent="0.15">
      <c r="K109" s="1"/>
      <c r="L109" s="1"/>
      <c r="M109" s="1"/>
    </row>
    <row r="110" spans="11:13" ht="26.25" customHeight="1" x14ac:dyDescent="0.15">
      <c r="K110" s="1"/>
      <c r="L110" s="1"/>
      <c r="M110" s="1"/>
    </row>
    <row r="111" spans="11:13" ht="26.25" customHeight="1" x14ac:dyDescent="0.15">
      <c r="K111" s="1"/>
      <c r="L111" s="1"/>
      <c r="M111" s="1"/>
    </row>
    <row r="112" spans="11:13" ht="26.25" customHeight="1" x14ac:dyDescent="0.15">
      <c r="K112" s="1"/>
      <c r="L112" s="1"/>
      <c r="M112" s="1"/>
    </row>
    <row r="113" spans="11:13" ht="26.25" customHeight="1" x14ac:dyDescent="0.15">
      <c r="K113" s="1"/>
      <c r="L113" s="1"/>
      <c r="M113" s="1"/>
    </row>
    <row r="114" spans="11:13" ht="26.25" customHeight="1" x14ac:dyDescent="0.15">
      <c r="K114" s="1"/>
      <c r="L114" s="1"/>
      <c r="M114" s="1"/>
    </row>
    <row r="115" spans="11:13" ht="26.25" customHeight="1" x14ac:dyDescent="0.15">
      <c r="K115" s="1"/>
      <c r="L115" s="1"/>
      <c r="M115" s="1"/>
    </row>
    <row r="116" spans="11:13" ht="26.25" customHeight="1" x14ac:dyDescent="0.15">
      <c r="K116" s="1"/>
      <c r="L116" s="1"/>
      <c r="M116" s="1"/>
    </row>
    <row r="117" spans="11:13" ht="26.25" customHeight="1" x14ac:dyDescent="0.15">
      <c r="K117" s="1"/>
      <c r="L117" s="1"/>
      <c r="M117" s="1"/>
    </row>
    <row r="118" spans="11:13" ht="26.25" customHeight="1" x14ac:dyDescent="0.15">
      <c r="K118" s="1"/>
      <c r="L118" s="1"/>
      <c r="M118" s="1"/>
    </row>
    <row r="119" spans="11:13" ht="26.25" customHeight="1" x14ac:dyDescent="0.15">
      <c r="K119" s="1"/>
      <c r="L119" s="1"/>
      <c r="M119" s="1"/>
    </row>
    <row r="120" spans="11:13" ht="26.25" customHeight="1" x14ac:dyDescent="0.15">
      <c r="K120" s="1"/>
      <c r="L120" s="1"/>
      <c r="M120" s="1"/>
    </row>
    <row r="121" spans="11:13" ht="26.25" customHeight="1" x14ac:dyDescent="0.15">
      <c r="K121" s="1"/>
      <c r="L121" s="1"/>
      <c r="M121" s="1"/>
    </row>
    <row r="122" spans="11:13" ht="26.25" customHeight="1" x14ac:dyDescent="0.15">
      <c r="K122" s="1"/>
      <c r="L122" s="1"/>
      <c r="M122" s="1"/>
    </row>
    <row r="123" spans="11:13" ht="26.25" customHeight="1" x14ac:dyDescent="0.15">
      <c r="K123" s="1"/>
      <c r="L123" s="1"/>
      <c r="M123" s="1"/>
    </row>
    <row r="124" spans="11:13" ht="26.25" customHeight="1" x14ac:dyDescent="0.15">
      <c r="K124" s="1"/>
      <c r="L124" s="1"/>
      <c r="M124" s="1"/>
    </row>
    <row r="125" spans="11:13" ht="26.25" customHeight="1" x14ac:dyDescent="0.15">
      <c r="K125" s="1"/>
      <c r="L125" s="1"/>
      <c r="M125" s="1"/>
    </row>
    <row r="126" spans="11:13" ht="26.25" customHeight="1" x14ac:dyDescent="0.15">
      <c r="K126" s="1"/>
      <c r="L126" s="1"/>
      <c r="M126" s="1"/>
    </row>
    <row r="127" spans="11:13" ht="26.25" customHeight="1" x14ac:dyDescent="0.15">
      <c r="K127" s="1"/>
      <c r="L127" s="1"/>
      <c r="M127" s="1"/>
    </row>
    <row r="128" spans="11:13" ht="26.25" customHeight="1" x14ac:dyDescent="0.15">
      <c r="K128" s="1"/>
      <c r="L128" s="1"/>
      <c r="M128" s="1"/>
    </row>
    <row r="129" spans="11:13" ht="26.25" customHeight="1" x14ac:dyDescent="0.15">
      <c r="K129" s="1"/>
      <c r="L129" s="1"/>
      <c r="M129" s="1"/>
    </row>
    <row r="130" spans="11:13" ht="26.25" customHeight="1" x14ac:dyDescent="0.15">
      <c r="K130" s="1"/>
      <c r="L130" s="1"/>
      <c r="M130" s="1"/>
    </row>
    <row r="131" spans="11:13" ht="26.25" customHeight="1" x14ac:dyDescent="0.15">
      <c r="K131" s="1"/>
      <c r="L131" s="1"/>
      <c r="M131" s="1"/>
    </row>
    <row r="132" spans="11:13" ht="26.25" customHeight="1" x14ac:dyDescent="0.15">
      <c r="K132" s="1"/>
      <c r="L132" s="1"/>
      <c r="M132" s="1"/>
    </row>
    <row r="133" spans="11:13" ht="26.25" customHeight="1" x14ac:dyDescent="0.15">
      <c r="K133" s="1"/>
      <c r="L133" s="1"/>
      <c r="M133" s="1"/>
    </row>
    <row r="134" spans="11:13" ht="26.25" customHeight="1" x14ac:dyDescent="0.15">
      <c r="K134" s="1"/>
      <c r="L134" s="1"/>
      <c r="M134" s="1"/>
    </row>
    <row r="135" spans="11:13" ht="26.25" customHeight="1" x14ac:dyDescent="0.15">
      <c r="K135" s="1"/>
      <c r="L135" s="1"/>
      <c r="M135" s="1"/>
    </row>
    <row r="136" spans="11:13" ht="26.25" customHeight="1" x14ac:dyDescent="0.15">
      <c r="K136" s="1"/>
      <c r="L136" s="1"/>
      <c r="M136" s="1"/>
    </row>
    <row r="137" spans="11:13" ht="26.25" customHeight="1" x14ac:dyDescent="0.15">
      <c r="K137" s="1"/>
      <c r="L137" s="1"/>
      <c r="M137" s="1"/>
    </row>
    <row r="138" spans="11:13" ht="26.25" customHeight="1" x14ac:dyDescent="0.15">
      <c r="K138" s="1"/>
      <c r="L138" s="1"/>
      <c r="M138" s="1"/>
    </row>
    <row r="139" spans="11:13" ht="26.25" customHeight="1" x14ac:dyDescent="0.15">
      <c r="K139" s="1"/>
      <c r="L139" s="1"/>
      <c r="M139" s="1"/>
    </row>
    <row r="140" spans="11:13" ht="26.25" customHeight="1" x14ac:dyDescent="0.15">
      <c r="K140" s="1"/>
      <c r="L140" s="1"/>
      <c r="M140" s="1"/>
    </row>
    <row r="141" spans="11:13" ht="26.25" customHeight="1" x14ac:dyDescent="0.15">
      <c r="K141" s="1"/>
      <c r="L141" s="1"/>
      <c r="M141" s="1"/>
    </row>
    <row r="142" spans="11:13" ht="26.25" customHeight="1" x14ac:dyDescent="0.15">
      <c r="K142" s="1"/>
      <c r="L142" s="1"/>
      <c r="M142" s="1"/>
    </row>
    <row r="143" spans="11:13" ht="26.25" customHeight="1" x14ac:dyDescent="0.15">
      <c r="K143" s="1"/>
      <c r="L143" s="1"/>
      <c r="M143" s="1"/>
    </row>
    <row r="144" spans="11:13" ht="26.25" customHeight="1" x14ac:dyDescent="0.15">
      <c r="K144" s="1"/>
      <c r="L144" s="1"/>
      <c r="M144" s="1"/>
    </row>
    <row r="145" spans="11:13" ht="26.25" customHeight="1" x14ac:dyDescent="0.15">
      <c r="K145" s="1"/>
      <c r="L145" s="1"/>
      <c r="M145" s="1"/>
    </row>
    <row r="146" spans="11:13" ht="26.25" customHeight="1" x14ac:dyDescent="0.15">
      <c r="K146" s="1"/>
      <c r="L146" s="1"/>
      <c r="M146" s="1"/>
    </row>
    <row r="147" spans="11:13" ht="26.25" customHeight="1" x14ac:dyDescent="0.15">
      <c r="K147" s="1"/>
      <c r="L147" s="1"/>
      <c r="M147" s="1"/>
    </row>
    <row r="148" spans="11:13" ht="26.25" customHeight="1" x14ac:dyDescent="0.15">
      <c r="K148" s="1"/>
      <c r="L148" s="1"/>
      <c r="M148" s="1"/>
    </row>
    <row r="149" spans="11:13" ht="26.25" customHeight="1" x14ac:dyDescent="0.15">
      <c r="K149" s="1"/>
      <c r="L149" s="1"/>
      <c r="M149" s="1"/>
    </row>
    <row r="150" spans="11:13" ht="26.25" customHeight="1" x14ac:dyDescent="0.15">
      <c r="K150" s="1"/>
      <c r="L150" s="1"/>
      <c r="M150" s="1"/>
    </row>
    <row r="151" spans="11:13" ht="26.25" customHeight="1" x14ac:dyDescent="0.15">
      <c r="K151" s="1"/>
      <c r="L151" s="1"/>
      <c r="M151" s="1"/>
    </row>
    <row r="152" spans="11:13" ht="26.25" customHeight="1" x14ac:dyDescent="0.15">
      <c r="K152" s="1"/>
      <c r="L152" s="1"/>
      <c r="M152" s="1"/>
    </row>
    <row r="153" spans="11:13" ht="26.25" customHeight="1" x14ac:dyDescent="0.15">
      <c r="K153" s="1"/>
      <c r="L153" s="1"/>
      <c r="M153" s="1"/>
    </row>
    <row r="154" spans="11:13" ht="26.25" customHeight="1" x14ac:dyDescent="0.15">
      <c r="K154" s="1"/>
      <c r="L154" s="1"/>
      <c r="M154" s="1"/>
    </row>
    <row r="155" spans="11:13" ht="26.25" customHeight="1" x14ac:dyDescent="0.15">
      <c r="K155" s="1"/>
      <c r="L155" s="1"/>
      <c r="M155" s="1"/>
    </row>
    <row r="156" spans="11:13" ht="26.25" customHeight="1" x14ac:dyDescent="0.15">
      <c r="K156" s="1"/>
      <c r="L156" s="1"/>
      <c r="M156" s="1"/>
    </row>
    <row r="157" spans="11:13" ht="26.25" customHeight="1" x14ac:dyDescent="0.15">
      <c r="K157" s="1"/>
      <c r="L157" s="1"/>
      <c r="M157" s="1"/>
    </row>
    <row r="158" spans="11:13" ht="26.25" customHeight="1" x14ac:dyDescent="0.15">
      <c r="K158" s="1"/>
      <c r="L158" s="1"/>
      <c r="M158" s="1"/>
    </row>
    <row r="159" spans="11:13" ht="26.25" customHeight="1" x14ac:dyDescent="0.15">
      <c r="K159" s="1"/>
      <c r="L159" s="1"/>
      <c r="M159" s="1"/>
    </row>
    <row r="160" spans="11:13" ht="26.25" customHeight="1" x14ac:dyDescent="0.15">
      <c r="K160" s="1"/>
      <c r="L160" s="1"/>
      <c r="M160" s="1"/>
    </row>
    <row r="161" spans="11:13" ht="26.25" customHeight="1" x14ac:dyDescent="0.15">
      <c r="K161" s="1"/>
      <c r="L161" s="1"/>
      <c r="M161" s="1"/>
    </row>
    <row r="162" spans="11:13" ht="26.25" customHeight="1" x14ac:dyDescent="0.15">
      <c r="K162" s="1"/>
      <c r="L162" s="1"/>
      <c r="M162" s="1"/>
    </row>
    <row r="163" spans="11:13" ht="26.25" customHeight="1" x14ac:dyDescent="0.15">
      <c r="K163" s="1"/>
      <c r="L163" s="1"/>
      <c r="M163" s="1"/>
    </row>
    <row r="164" spans="11:13" ht="26.25" customHeight="1" x14ac:dyDescent="0.15">
      <c r="K164" s="1"/>
      <c r="L164" s="1"/>
      <c r="M164" s="1"/>
    </row>
    <row r="165" spans="11:13" ht="26.25" customHeight="1" x14ac:dyDescent="0.15">
      <c r="K165" s="1"/>
      <c r="L165" s="1"/>
      <c r="M165" s="1"/>
    </row>
    <row r="166" spans="11:13" ht="26.25" customHeight="1" x14ac:dyDescent="0.15">
      <c r="K166" s="1"/>
      <c r="L166" s="1"/>
      <c r="M166" s="1"/>
    </row>
    <row r="167" spans="11:13" ht="26.25" customHeight="1" x14ac:dyDescent="0.15">
      <c r="K167" s="1"/>
      <c r="L167" s="1"/>
      <c r="M167" s="1"/>
    </row>
    <row r="168" spans="11:13" ht="26.25" customHeight="1" x14ac:dyDescent="0.15">
      <c r="K168" s="1"/>
      <c r="L168" s="1"/>
      <c r="M168" s="1"/>
    </row>
    <row r="169" spans="11:13" ht="26.25" customHeight="1" x14ac:dyDescent="0.15">
      <c r="K169" s="1"/>
      <c r="L169" s="1"/>
      <c r="M169" s="1"/>
    </row>
    <row r="170" spans="11:13" ht="26.25" customHeight="1" x14ac:dyDescent="0.15">
      <c r="K170" s="1"/>
      <c r="L170" s="1"/>
      <c r="M170" s="1"/>
    </row>
    <row r="171" spans="11:13" ht="26.25" customHeight="1" x14ac:dyDescent="0.15">
      <c r="K171" s="1"/>
      <c r="L171" s="1"/>
      <c r="M171" s="1"/>
    </row>
    <row r="172" spans="11:13" ht="26.25" customHeight="1" x14ac:dyDescent="0.15">
      <c r="K172" s="1"/>
      <c r="L172" s="1"/>
      <c r="M172" s="1"/>
    </row>
    <row r="173" spans="11:13" ht="26.25" customHeight="1" x14ac:dyDescent="0.15">
      <c r="K173" s="1"/>
      <c r="L173" s="1"/>
      <c r="M173" s="1"/>
    </row>
    <row r="174" spans="11:13" ht="26.25" customHeight="1" x14ac:dyDescent="0.15">
      <c r="K174" s="1"/>
      <c r="L174" s="1"/>
      <c r="M174" s="1"/>
    </row>
    <row r="175" spans="11:13" ht="26.25" customHeight="1" x14ac:dyDescent="0.15">
      <c r="K175" s="1"/>
      <c r="L175" s="1"/>
      <c r="M175" s="1"/>
    </row>
    <row r="176" spans="11:13" ht="26.25" customHeight="1" x14ac:dyDescent="0.15">
      <c r="K176" s="1"/>
      <c r="L176" s="1"/>
      <c r="M176" s="1"/>
    </row>
    <row r="177" spans="11:13" ht="26.25" customHeight="1" x14ac:dyDescent="0.15">
      <c r="K177" s="1"/>
      <c r="L177" s="1"/>
      <c r="M177" s="1"/>
    </row>
    <row r="178" spans="11:13" ht="26.25" customHeight="1" x14ac:dyDescent="0.15">
      <c r="K178" s="1"/>
      <c r="L178" s="1"/>
      <c r="M178" s="1"/>
    </row>
    <row r="179" spans="11:13" ht="26.25" customHeight="1" x14ac:dyDescent="0.15">
      <c r="K179" s="1"/>
      <c r="L179" s="1"/>
      <c r="M179" s="1"/>
    </row>
    <row r="180" spans="11:13" ht="26.25" customHeight="1" x14ac:dyDescent="0.15">
      <c r="K180" s="1"/>
      <c r="L180" s="1"/>
      <c r="M180" s="1"/>
    </row>
    <row r="181" spans="11:13" ht="26.25" customHeight="1" x14ac:dyDescent="0.15">
      <c r="K181" s="1"/>
      <c r="L181" s="1"/>
      <c r="M181" s="1"/>
    </row>
    <row r="182" spans="11:13" ht="26.25" customHeight="1" x14ac:dyDescent="0.15">
      <c r="K182" s="1"/>
      <c r="L182" s="1"/>
      <c r="M182" s="1"/>
    </row>
    <row r="183" spans="11:13" ht="26.25" customHeight="1" x14ac:dyDescent="0.15">
      <c r="K183" s="1"/>
      <c r="L183" s="1"/>
      <c r="M183" s="1"/>
    </row>
    <row r="184" spans="11:13" ht="26.25" customHeight="1" x14ac:dyDescent="0.15">
      <c r="K184" s="1"/>
      <c r="L184" s="1"/>
      <c r="M184" s="1"/>
    </row>
    <row r="185" spans="11:13" ht="26.25" customHeight="1" x14ac:dyDescent="0.15">
      <c r="K185" s="1"/>
      <c r="L185" s="1"/>
      <c r="M185" s="1"/>
    </row>
    <row r="186" spans="11:13" ht="26.25" customHeight="1" x14ac:dyDescent="0.15">
      <c r="K186" s="1"/>
      <c r="L186" s="1"/>
      <c r="M186" s="1"/>
    </row>
    <row r="187" spans="11:13" ht="26.25" customHeight="1" x14ac:dyDescent="0.15">
      <c r="K187" s="1"/>
      <c r="L187" s="1"/>
      <c r="M187" s="1"/>
    </row>
    <row r="188" spans="11:13" ht="26.25" customHeight="1" x14ac:dyDescent="0.15">
      <c r="K188" s="1"/>
      <c r="L188" s="1"/>
      <c r="M188" s="1"/>
    </row>
    <row r="189" spans="11:13" ht="26.25" customHeight="1" x14ac:dyDescent="0.15">
      <c r="K189" s="1"/>
      <c r="L189" s="1"/>
      <c r="M189" s="1"/>
    </row>
    <row r="190" spans="11:13" ht="26.25" customHeight="1" x14ac:dyDescent="0.15">
      <c r="K190" s="1"/>
      <c r="L190" s="1"/>
      <c r="M190" s="1"/>
    </row>
    <row r="191" spans="11:13" ht="26.25" customHeight="1" x14ac:dyDescent="0.15">
      <c r="K191" s="1"/>
      <c r="L191" s="1"/>
      <c r="M191" s="1"/>
    </row>
    <row r="192" spans="11:13" ht="26.25" customHeight="1" x14ac:dyDescent="0.15">
      <c r="K192" s="1"/>
      <c r="L192" s="1"/>
      <c r="M192" s="1"/>
    </row>
    <row r="193" spans="11:13" ht="26.25" customHeight="1" x14ac:dyDescent="0.15">
      <c r="K193" s="1"/>
      <c r="L193" s="1"/>
      <c r="M193" s="1"/>
    </row>
    <row r="194" spans="11:13" ht="26.25" customHeight="1" x14ac:dyDescent="0.15">
      <c r="K194" s="1"/>
      <c r="L194" s="1"/>
      <c r="M194" s="1"/>
    </row>
    <row r="195" spans="11:13" ht="26.25" customHeight="1" x14ac:dyDescent="0.15">
      <c r="K195" s="1"/>
      <c r="L195" s="1"/>
      <c r="M195" s="1"/>
    </row>
    <row r="196" spans="11:13" ht="26.25" customHeight="1" x14ac:dyDescent="0.15">
      <c r="K196" s="1"/>
      <c r="L196" s="1"/>
      <c r="M196" s="1"/>
    </row>
    <row r="197" spans="11:13" ht="26.25" customHeight="1" x14ac:dyDescent="0.15">
      <c r="K197" s="1"/>
      <c r="L197" s="1"/>
      <c r="M197" s="1"/>
    </row>
    <row r="198" spans="11:13" ht="26.25" customHeight="1" x14ac:dyDescent="0.15">
      <c r="K198" s="1"/>
      <c r="L198" s="1"/>
      <c r="M198" s="1"/>
    </row>
    <row r="199" spans="11:13" ht="26.25" customHeight="1" x14ac:dyDescent="0.15">
      <c r="K199" s="1"/>
      <c r="L199" s="1"/>
      <c r="M199" s="1"/>
    </row>
    <row r="200" spans="11:13" ht="26.25" customHeight="1" x14ac:dyDescent="0.15">
      <c r="K200" s="1"/>
      <c r="L200" s="1"/>
      <c r="M200" s="1"/>
    </row>
    <row r="201" spans="11:13" ht="26.25" customHeight="1" x14ac:dyDescent="0.15">
      <c r="K201" s="1"/>
      <c r="L201" s="1"/>
      <c r="M201" s="1"/>
    </row>
    <row r="202" spans="11:13" ht="26.25" customHeight="1" x14ac:dyDescent="0.15">
      <c r="K202" s="1"/>
      <c r="L202" s="1"/>
      <c r="M202" s="1"/>
    </row>
    <row r="203" spans="11:13" ht="26.25" customHeight="1" x14ac:dyDescent="0.15">
      <c r="K203" s="1"/>
      <c r="L203" s="1"/>
      <c r="M203" s="1"/>
    </row>
    <row r="204" spans="11:13" ht="26.25" customHeight="1" x14ac:dyDescent="0.15">
      <c r="K204" s="1"/>
      <c r="L204" s="1"/>
      <c r="M204" s="1"/>
    </row>
    <row r="205" spans="11:13" ht="26.25" customHeight="1" x14ac:dyDescent="0.15">
      <c r="K205" s="1"/>
      <c r="L205" s="1"/>
      <c r="M205" s="1"/>
    </row>
    <row r="206" spans="11:13" ht="26.25" customHeight="1" x14ac:dyDescent="0.15">
      <c r="K206" s="1"/>
      <c r="L206" s="1"/>
      <c r="M206" s="1"/>
    </row>
    <row r="207" spans="11:13" ht="26.25" customHeight="1" x14ac:dyDescent="0.15">
      <c r="K207" s="1"/>
      <c r="L207" s="1"/>
      <c r="M207" s="1"/>
    </row>
    <row r="208" spans="11:13" ht="26.25" customHeight="1" x14ac:dyDescent="0.15">
      <c r="K208" s="1"/>
      <c r="L208" s="1"/>
      <c r="M208" s="1"/>
    </row>
    <row r="209" spans="11:13" ht="26.25" customHeight="1" x14ac:dyDescent="0.15">
      <c r="K209" s="1"/>
      <c r="L209" s="1"/>
      <c r="M209" s="1"/>
    </row>
    <row r="210" spans="11:13" ht="26.25" customHeight="1" x14ac:dyDescent="0.15">
      <c r="K210" s="1"/>
      <c r="L210" s="1"/>
      <c r="M210" s="1"/>
    </row>
    <row r="211" spans="11:13" ht="26.25" customHeight="1" x14ac:dyDescent="0.15">
      <c r="K211" s="1"/>
      <c r="L211" s="1"/>
      <c r="M211" s="1"/>
    </row>
    <row r="212" spans="11:13" ht="26.25" customHeight="1" x14ac:dyDescent="0.15">
      <c r="K212" s="1"/>
      <c r="L212" s="1"/>
      <c r="M212" s="1"/>
    </row>
    <row r="213" spans="11:13" ht="26.25" customHeight="1" x14ac:dyDescent="0.15">
      <c r="K213" s="1"/>
      <c r="L213" s="1"/>
      <c r="M213" s="1"/>
    </row>
    <row r="214" spans="11:13" ht="26.25" customHeight="1" x14ac:dyDescent="0.15">
      <c r="K214" s="1"/>
      <c r="L214" s="1"/>
      <c r="M214" s="1"/>
    </row>
    <row r="215" spans="11:13" ht="26.25" customHeight="1" x14ac:dyDescent="0.15">
      <c r="K215" s="1"/>
      <c r="L215" s="1"/>
      <c r="M215" s="1"/>
    </row>
    <row r="216" spans="11:13" ht="26.25" customHeight="1" x14ac:dyDescent="0.15">
      <c r="K216" s="1"/>
      <c r="L216" s="1"/>
      <c r="M216" s="1"/>
    </row>
    <row r="217" spans="11:13" ht="26.25" customHeight="1" x14ac:dyDescent="0.15">
      <c r="K217" s="1"/>
      <c r="L217" s="1"/>
      <c r="M217" s="1"/>
    </row>
    <row r="218" spans="11:13" ht="26.25" customHeight="1" x14ac:dyDescent="0.15">
      <c r="K218" s="1"/>
      <c r="L218" s="1"/>
      <c r="M218" s="1"/>
    </row>
    <row r="219" spans="11:13" ht="26.25" customHeight="1" x14ac:dyDescent="0.15">
      <c r="K219" s="1"/>
      <c r="L219" s="1"/>
      <c r="M219" s="1"/>
    </row>
    <row r="220" spans="11:13" ht="26.25" customHeight="1" x14ac:dyDescent="0.15">
      <c r="K220" s="1"/>
      <c r="L220" s="1"/>
      <c r="M220" s="1"/>
    </row>
    <row r="221" spans="11:13" ht="26.25" customHeight="1" x14ac:dyDescent="0.15">
      <c r="K221" s="1"/>
      <c r="L221" s="1"/>
      <c r="M221" s="1"/>
    </row>
    <row r="222" spans="11:13" ht="26.25" customHeight="1" x14ac:dyDescent="0.15">
      <c r="K222" s="1"/>
      <c r="L222" s="1"/>
      <c r="M222" s="1"/>
    </row>
    <row r="223" spans="11:13" ht="26.25" customHeight="1" x14ac:dyDescent="0.15">
      <c r="K223" s="1"/>
      <c r="L223" s="1"/>
      <c r="M223" s="1"/>
    </row>
    <row r="224" spans="11:13" ht="26.25" customHeight="1" x14ac:dyDescent="0.15">
      <c r="K224" s="1"/>
      <c r="L224" s="1"/>
      <c r="M224" s="1"/>
    </row>
    <row r="225" spans="11:13" ht="26.25" customHeight="1" x14ac:dyDescent="0.15">
      <c r="K225" s="1"/>
      <c r="L225" s="1"/>
      <c r="M225" s="1"/>
    </row>
    <row r="226" spans="11:13" ht="26.25" customHeight="1" x14ac:dyDescent="0.15">
      <c r="K226" s="1"/>
      <c r="L226" s="1"/>
      <c r="M226" s="1"/>
    </row>
    <row r="227" spans="11:13" ht="26.25" customHeight="1" x14ac:dyDescent="0.15">
      <c r="K227" s="1"/>
      <c r="L227" s="1"/>
      <c r="M227" s="1"/>
    </row>
    <row r="228" spans="11:13" ht="26.25" customHeight="1" x14ac:dyDescent="0.15">
      <c r="K228" s="1"/>
      <c r="L228" s="1"/>
      <c r="M228" s="1"/>
    </row>
    <row r="229" spans="11:13" ht="26.25" customHeight="1" x14ac:dyDescent="0.15">
      <c r="K229" s="1"/>
      <c r="L229" s="1"/>
      <c r="M229" s="1"/>
    </row>
    <row r="230" spans="11:13" ht="26.25" customHeight="1" x14ac:dyDescent="0.15">
      <c r="K230" s="1"/>
      <c r="L230" s="1"/>
      <c r="M230" s="1"/>
    </row>
    <row r="231" spans="11:13" ht="26.25" customHeight="1" x14ac:dyDescent="0.15">
      <c r="K231" s="1"/>
      <c r="L231" s="1"/>
      <c r="M231" s="1"/>
    </row>
    <row r="232" spans="11:13" ht="26.25" customHeight="1" x14ac:dyDescent="0.15">
      <c r="K232" s="1"/>
      <c r="L232" s="1"/>
      <c r="M232" s="1"/>
    </row>
    <row r="233" spans="11:13" ht="26.25" customHeight="1" x14ac:dyDescent="0.15">
      <c r="K233" s="1"/>
      <c r="L233" s="1"/>
      <c r="M233" s="1"/>
    </row>
    <row r="234" spans="11:13" ht="26.25" customHeight="1" x14ac:dyDescent="0.15">
      <c r="K234" s="1"/>
      <c r="L234" s="1"/>
      <c r="M234" s="1"/>
    </row>
    <row r="235" spans="11:13" ht="26.25" customHeight="1" x14ac:dyDescent="0.15">
      <c r="K235" s="1"/>
      <c r="L235" s="1"/>
      <c r="M235" s="1"/>
    </row>
    <row r="236" spans="11:13" ht="26.25" customHeight="1" x14ac:dyDescent="0.15">
      <c r="K236" s="1"/>
      <c r="L236" s="1"/>
      <c r="M236" s="1"/>
    </row>
    <row r="237" spans="11:13" ht="26.25" customHeight="1" x14ac:dyDescent="0.15">
      <c r="K237" s="1"/>
      <c r="L237" s="1"/>
      <c r="M237" s="1"/>
    </row>
    <row r="238" spans="11:13" ht="26.25" customHeight="1" x14ac:dyDescent="0.15">
      <c r="K238" s="1"/>
      <c r="L238" s="1"/>
      <c r="M238" s="1"/>
    </row>
    <row r="239" spans="11:13" ht="26.25" customHeight="1" x14ac:dyDescent="0.15">
      <c r="K239" s="1"/>
      <c r="L239" s="1"/>
      <c r="M239" s="1"/>
    </row>
    <row r="240" spans="11:13" ht="26.25" customHeight="1" x14ac:dyDescent="0.15">
      <c r="K240" s="1"/>
      <c r="L240" s="1"/>
      <c r="M240" s="1"/>
    </row>
    <row r="241" spans="11:13" ht="26.25" customHeight="1" x14ac:dyDescent="0.15">
      <c r="K241" s="1"/>
      <c r="L241" s="1"/>
      <c r="M241" s="1"/>
    </row>
    <row r="242" spans="11:13" ht="26.25" customHeight="1" x14ac:dyDescent="0.15">
      <c r="K242" s="1"/>
      <c r="L242" s="1"/>
      <c r="M242" s="1"/>
    </row>
    <row r="243" spans="11:13" ht="26.25" customHeight="1" x14ac:dyDescent="0.15">
      <c r="K243" s="1"/>
      <c r="L243" s="1"/>
      <c r="M243" s="1"/>
    </row>
    <row r="244" spans="11:13" ht="26.25" customHeight="1" x14ac:dyDescent="0.15">
      <c r="K244" s="1"/>
      <c r="L244" s="1"/>
      <c r="M244" s="1"/>
    </row>
    <row r="245" spans="11:13" ht="26.25" customHeight="1" x14ac:dyDescent="0.15">
      <c r="K245" s="1"/>
      <c r="L245" s="1"/>
      <c r="M245" s="1"/>
    </row>
    <row r="246" spans="11:13" ht="26.25" customHeight="1" x14ac:dyDescent="0.15">
      <c r="K246" s="1"/>
      <c r="L246" s="1"/>
      <c r="M246" s="1"/>
    </row>
    <row r="247" spans="11:13" ht="26.25" customHeight="1" x14ac:dyDescent="0.15">
      <c r="K247" s="1"/>
      <c r="L247" s="1"/>
      <c r="M247" s="1"/>
    </row>
    <row r="248" spans="11:13" ht="26.25" customHeight="1" x14ac:dyDescent="0.15">
      <c r="K248" s="1"/>
      <c r="L248" s="1"/>
      <c r="M248" s="1"/>
    </row>
    <row r="249" spans="11:13" ht="26.25" customHeight="1" x14ac:dyDescent="0.15">
      <c r="K249" s="1"/>
      <c r="L249" s="1"/>
      <c r="M249" s="1"/>
    </row>
    <row r="250" spans="11:13" ht="26.25" customHeight="1" x14ac:dyDescent="0.15">
      <c r="K250" s="1"/>
      <c r="L250" s="1"/>
      <c r="M250" s="1"/>
    </row>
    <row r="251" spans="11:13" ht="26.25" customHeight="1" x14ac:dyDescent="0.15">
      <c r="K251" s="1"/>
      <c r="L251" s="1"/>
      <c r="M251" s="1"/>
    </row>
    <row r="252" spans="11:13" ht="26.25" customHeight="1" x14ac:dyDescent="0.15">
      <c r="K252" s="1"/>
      <c r="L252" s="1"/>
      <c r="M252" s="1"/>
    </row>
    <row r="253" spans="11:13" ht="26.25" customHeight="1" x14ac:dyDescent="0.15">
      <c r="K253" s="1"/>
      <c r="L253" s="1"/>
      <c r="M253" s="1"/>
    </row>
    <row r="254" spans="11:13" ht="26.25" customHeight="1" x14ac:dyDescent="0.15">
      <c r="K254" s="1"/>
      <c r="L254" s="1"/>
      <c r="M254" s="1"/>
    </row>
    <row r="255" spans="11:13" ht="26.25" customHeight="1" x14ac:dyDescent="0.15">
      <c r="K255" s="1"/>
      <c r="L255" s="1"/>
      <c r="M255" s="1"/>
    </row>
    <row r="256" spans="11:13" ht="26.25" customHeight="1" x14ac:dyDescent="0.15">
      <c r="K256" s="1"/>
      <c r="L256" s="1"/>
      <c r="M256" s="1"/>
    </row>
    <row r="257" spans="11:13" ht="26.25" customHeight="1" x14ac:dyDescent="0.15">
      <c r="K257" s="1"/>
      <c r="L257" s="1"/>
      <c r="M257" s="1"/>
    </row>
    <row r="258" spans="11:13" ht="26.25" customHeight="1" x14ac:dyDescent="0.15">
      <c r="K258" s="1"/>
      <c r="L258" s="1"/>
      <c r="M258" s="1"/>
    </row>
    <row r="259" spans="11:13" ht="26.25" customHeight="1" x14ac:dyDescent="0.15">
      <c r="K259" s="1"/>
      <c r="L259" s="1"/>
      <c r="M259" s="1"/>
    </row>
    <row r="260" spans="11:13" ht="26.25" customHeight="1" x14ac:dyDescent="0.15">
      <c r="K260" s="1"/>
      <c r="L260" s="1"/>
      <c r="M260" s="1"/>
    </row>
    <row r="261" spans="11:13" ht="26.25" customHeight="1" x14ac:dyDescent="0.15">
      <c r="K261" s="1"/>
      <c r="L261" s="1"/>
      <c r="M261" s="1"/>
    </row>
    <row r="262" spans="11:13" ht="26.25" customHeight="1" x14ac:dyDescent="0.15">
      <c r="K262" s="1"/>
      <c r="L262" s="1"/>
      <c r="M262" s="1"/>
    </row>
    <row r="263" spans="11:13" ht="26.25" customHeight="1" x14ac:dyDescent="0.15">
      <c r="K263" s="1"/>
      <c r="L263" s="1"/>
      <c r="M263" s="1"/>
    </row>
    <row r="264" spans="11:13" ht="26.25" customHeight="1" x14ac:dyDescent="0.15">
      <c r="K264" s="1"/>
      <c r="L264" s="1"/>
      <c r="M264" s="1"/>
    </row>
    <row r="265" spans="11:13" ht="26.25" customHeight="1" x14ac:dyDescent="0.15">
      <c r="K265" s="1"/>
      <c r="L265" s="1"/>
      <c r="M265" s="1"/>
    </row>
    <row r="266" spans="11:13" ht="26.25" customHeight="1" x14ac:dyDescent="0.15">
      <c r="K266" s="1"/>
      <c r="L266" s="1"/>
      <c r="M266" s="1"/>
    </row>
    <row r="267" spans="11:13" ht="26.25" customHeight="1" x14ac:dyDescent="0.15">
      <c r="K267" s="1"/>
      <c r="L267" s="1"/>
      <c r="M267" s="1"/>
    </row>
    <row r="268" spans="11:13" ht="26.25" customHeight="1" x14ac:dyDescent="0.15">
      <c r="K268" s="1"/>
      <c r="L268" s="1"/>
      <c r="M268" s="1"/>
    </row>
    <row r="269" spans="11:13" ht="26.25" customHeight="1" x14ac:dyDescent="0.15">
      <c r="K269" s="1"/>
      <c r="L269" s="1"/>
      <c r="M269" s="1"/>
    </row>
    <row r="270" spans="11:13" ht="26.25" customHeight="1" x14ac:dyDescent="0.15">
      <c r="K270" s="1"/>
      <c r="L270" s="1"/>
      <c r="M270" s="1"/>
    </row>
    <row r="271" spans="11:13" ht="26.25" customHeight="1" x14ac:dyDescent="0.15">
      <c r="K271" s="1"/>
      <c r="L271" s="1"/>
      <c r="M271" s="1"/>
    </row>
    <row r="272" spans="11:13" ht="26.25" customHeight="1" x14ac:dyDescent="0.15">
      <c r="K272" s="1"/>
      <c r="L272" s="1"/>
      <c r="M272" s="1"/>
    </row>
    <row r="273" spans="11:13" ht="26.25" customHeight="1" x14ac:dyDescent="0.15">
      <c r="K273" s="1"/>
      <c r="L273" s="1"/>
      <c r="M273" s="1"/>
    </row>
    <row r="274" spans="11:13" ht="26.25" customHeight="1" x14ac:dyDescent="0.15">
      <c r="K274" s="1"/>
      <c r="L274" s="1"/>
      <c r="M274" s="1"/>
    </row>
    <row r="275" spans="11:13" ht="26.25" customHeight="1" x14ac:dyDescent="0.15">
      <c r="K275" s="1"/>
      <c r="L275" s="1"/>
      <c r="M275" s="1"/>
    </row>
    <row r="276" spans="11:13" ht="26.25" customHeight="1" x14ac:dyDescent="0.15">
      <c r="K276" s="1"/>
      <c r="L276" s="1"/>
      <c r="M276" s="1"/>
    </row>
    <row r="277" spans="11:13" ht="26.25" customHeight="1" x14ac:dyDescent="0.15">
      <c r="K277" s="1"/>
      <c r="L277" s="1"/>
      <c r="M277" s="1"/>
    </row>
    <row r="278" spans="11:13" ht="26.25" customHeight="1" x14ac:dyDescent="0.15">
      <c r="K278" s="1"/>
      <c r="L278" s="1"/>
      <c r="M278" s="1"/>
    </row>
    <row r="279" spans="11:13" ht="26.25" customHeight="1" x14ac:dyDescent="0.15">
      <c r="K279" s="1"/>
      <c r="L279" s="1"/>
      <c r="M279" s="1"/>
    </row>
    <row r="280" spans="11:13" ht="26.25" customHeight="1" x14ac:dyDescent="0.15">
      <c r="K280" s="1"/>
      <c r="L280" s="1"/>
      <c r="M280" s="1"/>
    </row>
    <row r="281" spans="11:13" ht="26.25" customHeight="1" x14ac:dyDescent="0.15">
      <c r="K281" s="1"/>
      <c r="L281" s="1"/>
      <c r="M281" s="1"/>
    </row>
    <row r="282" spans="11:13" ht="26.25" customHeight="1" x14ac:dyDescent="0.15">
      <c r="K282" s="1"/>
      <c r="L282" s="1"/>
      <c r="M282" s="1"/>
    </row>
    <row r="283" spans="11:13" ht="26.25" customHeight="1" x14ac:dyDescent="0.15">
      <c r="K283" s="1"/>
      <c r="L283" s="1"/>
      <c r="M283" s="1"/>
    </row>
    <row r="284" spans="11:13" ht="26.25" customHeight="1" x14ac:dyDescent="0.15">
      <c r="K284" s="1"/>
      <c r="L284" s="1"/>
      <c r="M284" s="1"/>
    </row>
    <row r="285" spans="11:13" ht="26.25" customHeight="1" x14ac:dyDescent="0.15">
      <c r="K285" s="1"/>
      <c r="L285" s="1"/>
      <c r="M285" s="1"/>
    </row>
    <row r="286" spans="11:13" ht="26.25" customHeight="1" x14ac:dyDescent="0.15">
      <c r="K286" s="1"/>
      <c r="L286" s="1"/>
      <c r="M286" s="1"/>
    </row>
    <row r="287" spans="11:13" ht="26.25" customHeight="1" x14ac:dyDescent="0.15">
      <c r="K287" s="1"/>
      <c r="L287" s="1"/>
      <c r="M287" s="1"/>
    </row>
    <row r="288" spans="11:13" ht="26.25" customHeight="1" x14ac:dyDescent="0.15">
      <c r="K288" s="1"/>
      <c r="L288" s="1"/>
      <c r="M288" s="1"/>
    </row>
    <row r="289" spans="11:13" ht="26.25" customHeight="1" x14ac:dyDescent="0.15">
      <c r="K289" s="1"/>
      <c r="L289" s="1"/>
      <c r="M289" s="1"/>
    </row>
    <row r="290" spans="11:13" ht="26.25" customHeight="1" x14ac:dyDescent="0.15">
      <c r="K290" s="1"/>
      <c r="L290" s="1"/>
      <c r="M290" s="1"/>
    </row>
    <row r="291" spans="11:13" ht="26.25" customHeight="1" x14ac:dyDescent="0.15">
      <c r="K291" s="1"/>
      <c r="L291" s="1"/>
      <c r="M291" s="1"/>
    </row>
    <row r="292" spans="11:13" ht="26.25" customHeight="1" x14ac:dyDescent="0.15">
      <c r="K292" s="1"/>
      <c r="L292" s="1"/>
      <c r="M292" s="1"/>
    </row>
    <row r="293" spans="11:13" ht="26.25" customHeight="1" x14ac:dyDescent="0.15">
      <c r="K293" s="1"/>
      <c r="L293" s="1"/>
      <c r="M293" s="1"/>
    </row>
    <row r="294" spans="11:13" ht="26.25" customHeight="1" x14ac:dyDescent="0.15">
      <c r="K294" s="1"/>
      <c r="L294" s="1"/>
      <c r="M294" s="1"/>
    </row>
    <row r="295" spans="11:13" ht="26.25" customHeight="1" x14ac:dyDescent="0.15">
      <c r="K295" s="1"/>
      <c r="L295" s="1"/>
      <c r="M295" s="1"/>
    </row>
    <row r="296" spans="11:13" ht="26.25" customHeight="1" x14ac:dyDescent="0.15">
      <c r="K296" s="1"/>
      <c r="L296" s="1"/>
      <c r="M296" s="1"/>
    </row>
    <row r="297" spans="11:13" ht="26.25" customHeight="1" x14ac:dyDescent="0.15">
      <c r="K297" s="1"/>
      <c r="L297" s="1"/>
      <c r="M297" s="1"/>
    </row>
    <row r="298" spans="11:13" ht="26.25" customHeight="1" x14ac:dyDescent="0.15">
      <c r="K298" s="1"/>
      <c r="L298" s="1"/>
      <c r="M298" s="1"/>
    </row>
    <row r="299" spans="11:13" ht="26.25" customHeight="1" x14ac:dyDescent="0.15">
      <c r="K299" s="1"/>
      <c r="L299" s="1"/>
      <c r="M299" s="1"/>
    </row>
    <row r="300" spans="11:13" ht="26.25" customHeight="1" x14ac:dyDescent="0.15">
      <c r="K300" s="1"/>
      <c r="L300" s="1"/>
      <c r="M300" s="1"/>
    </row>
    <row r="301" spans="11:13" ht="26.25" customHeight="1" x14ac:dyDescent="0.15">
      <c r="K301" s="1"/>
      <c r="L301" s="1"/>
      <c r="M301" s="1"/>
    </row>
    <row r="302" spans="11:13" ht="26.25" customHeight="1" x14ac:dyDescent="0.15">
      <c r="K302" s="1"/>
      <c r="L302" s="1"/>
      <c r="M302" s="1"/>
    </row>
    <row r="303" spans="11:13" ht="26.25" customHeight="1" x14ac:dyDescent="0.15">
      <c r="K303" s="1"/>
      <c r="L303" s="1"/>
      <c r="M303" s="1"/>
    </row>
    <row r="304" spans="11:13" ht="26.25" customHeight="1" x14ac:dyDescent="0.15">
      <c r="K304" s="1"/>
      <c r="L304" s="1"/>
      <c r="M304" s="1"/>
    </row>
    <row r="305" spans="11:13" ht="26.25" customHeight="1" x14ac:dyDescent="0.15">
      <c r="K305" s="1"/>
      <c r="L305" s="1"/>
      <c r="M305" s="1"/>
    </row>
    <row r="306" spans="11:13" ht="26.25" customHeight="1" x14ac:dyDescent="0.15">
      <c r="K306" s="1"/>
      <c r="L306" s="1"/>
      <c r="M306" s="1"/>
    </row>
    <row r="307" spans="11:13" ht="26.25" customHeight="1" x14ac:dyDescent="0.15">
      <c r="K307" s="1"/>
      <c r="L307" s="1"/>
      <c r="M307" s="1"/>
    </row>
    <row r="308" spans="11:13" ht="26.25" customHeight="1" x14ac:dyDescent="0.15">
      <c r="K308" s="1"/>
      <c r="L308" s="1"/>
      <c r="M308" s="1"/>
    </row>
    <row r="309" spans="11:13" ht="26.25" customHeight="1" x14ac:dyDescent="0.15">
      <c r="K309" s="1"/>
      <c r="L309" s="1"/>
      <c r="M309" s="1"/>
    </row>
    <row r="310" spans="11:13" ht="26.25" customHeight="1" x14ac:dyDescent="0.15">
      <c r="K310" s="1"/>
      <c r="L310" s="1"/>
      <c r="M310" s="1"/>
    </row>
    <row r="311" spans="11:13" ht="26.25" customHeight="1" x14ac:dyDescent="0.15">
      <c r="K311" s="1"/>
      <c r="L311" s="1"/>
      <c r="M311" s="1"/>
    </row>
    <row r="312" spans="11:13" ht="26.25" customHeight="1" x14ac:dyDescent="0.15">
      <c r="K312" s="1"/>
      <c r="L312" s="1"/>
      <c r="M312" s="1"/>
    </row>
    <row r="313" spans="11:13" ht="26.25" customHeight="1" x14ac:dyDescent="0.15">
      <c r="K313" s="1"/>
      <c r="L313" s="1"/>
      <c r="M313" s="1"/>
    </row>
    <row r="314" spans="11:13" ht="26.25" customHeight="1" x14ac:dyDescent="0.15">
      <c r="K314" s="1"/>
      <c r="L314" s="1"/>
      <c r="M314" s="1"/>
    </row>
    <row r="315" spans="11:13" ht="26.25" customHeight="1" x14ac:dyDescent="0.15">
      <c r="K315" s="1"/>
      <c r="L315" s="1"/>
      <c r="M315" s="1"/>
    </row>
    <row r="316" spans="11:13" ht="26.25" customHeight="1" x14ac:dyDescent="0.15">
      <c r="K316" s="1"/>
      <c r="L316" s="1"/>
      <c r="M316" s="1"/>
    </row>
    <row r="317" spans="11:13" ht="26.25" customHeight="1" x14ac:dyDescent="0.15">
      <c r="K317" s="1"/>
      <c r="L317" s="1"/>
      <c r="M317" s="1"/>
    </row>
    <row r="318" spans="11:13" ht="26.25" customHeight="1" x14ac:dyDescent="0.15">
      <c r="K318" s="1"/>
      <c r="L318" s="1"/>
      <c r="M318" s="1"/>
    </row>
    <row r="319" spans="11:13" ht="26.25" customHeight="1" x14ac:dyDescent="0.15">
      <c r="K319" s="1"/>
      <c r="L319" s="1"/>
      <c r="M319" s="1"/>
    </row>
    <row r="320" spans="11:13" ht="26.25" customHeight="1" x14ac:dyDescent="0.15">
      <c r="K320" s="1"/>
      <c r="L320" s="1"/>
      <c r="M320" s="1"/>
    </row>
    <row r="321" spans="11:13" ht="26.25" customHeight="1" x14ac:dyDescent="0.15">
      <c r="K321" s="1"/>
      <c r="L321" s="1"/>
      <c r="M321" s="1"/>
    </row>
    <row r="322" spans="11:13" ht="26.25" customHeight="1" x14ac:dyDescent="0.15">
      <c r="K322" s="1"/>
      <c r="L322" s="1"/>
      <c r="M322" s="1"/>
    </row>
    <row r="323" spans="11:13" ht="26.25" customHeight="1" x14ac:dyDescent="0.15">
      <c r="K323" s="1"/>
      <c r="L323" s="1"/>
      <c r="M323" s="1"/>
    </row>
    <row r="324" spans="11:13" ht="26.25" customHeight="1" x14ac:dyDescent="0.15">
      <c r="K324" s="1"/>
      <c r="L324" s="1"/>
      <c r="M324" s="1"/>
    </row>
    <row r="325" spans="11:13" ht="26.25" customHeight="1" x14ac:dyDescent="0.15">
      <c r="K325" s="1"/>
      <c r="L325" s="1"/>
      <c r="M325" s="1"/>
    </row>
    <row r="326" spans="11:13" ht="26.25" customHeight="1" x14ac:dyDescent="0.15">
      <c r="K326" s="1"/>
      <c r="L326" s="1"/>
      <c r="M326" s="1"/>
    </row>
    <row r="327" spans="11:13" ht="26.25" customHeight="1" x14ac:dyDescent="0.15">
      <c r="K327" s="1"/>
      <c r="L327" s="1"/>
      <c r="M327" s="1"/>
    </row>
    <row r="328" spans="11:13" ht="26.25" customHeight="1" x14ac:dyDescent="0.15">
      <c r="K328" s="1"/>
      <c r="L328" s="1"/>
      <c r="M328" s="1"/>
    </row>
    <row r="329" spans="11:13" ht="26.25" customHeight="1" x14ac:dyDescent="0.15">
      <c r="K329" s="1"/>
      <c r="L329" s="1"/>
      <c r="M329" s="1"/>
    </row>
    <row r="330" spans="11:13" ht="26.25" customHeight="1" x14ac:dyDescent="0.15">
      <c r="K330" s="1"/>
      <c r="L330" s="1"/>
      <c r="M330" s="1"/>
    </row>
    <row r="331" spans="11:13" ht="26.25" customHeight="1" x14ac:dyDescent="0.15">
      <c r="K331" s="1"/>
      <c r="L331" s="1"/>
      <c r="M331" s="1"/>
    </row>
    <row r="332" spans="11:13" ht="26.25" customHeight="1" x14ac:dyDescent="0.15">
      <c r="K332" s="1"/>
      <c r="L332" s="1"/>
      <c r="M332" s="1"/>
    </row>
    <row r="333" spans="11:13" ht="26.25" customHeight="1" x14ac:dyDescent="0.15">
      <c r="K333" s="1"/>
      <c r="L333" s="1"/>
      <c r="M333" s="1"/>
    </row>
    <row r="334" spans="11:13" ht="26.25" customHeight="1" x14ac:dyDescent="0.15">
      <c r="K334" s="1"/>
      <c r="L334" s="1"/>
      <c r="M334" s="1"/>
    </row>
    <row r="335" spans="11:13" ht="26.25" customHeight="1" x14ac:dyDescent="0.15">
      <c r="K335" s="1"/>
      <c r="L335" s="1"/>
      <c r="M335" s="1"/>
    </row>
    <row r="336" spans="11:13" ht="26.25" customHeight="1" x14ac:dyDescent="0.15">
      <c r="K336" s="1"/>
      <c r="L336" s="1"/>
      <c r="M336" s="1"/>
    </row>
    <row r="337" spans="11:13" ht="26.25" customHeight="1" x14ac:dyDescent="0.15">
      <c r="K337" s="1"/>
      <c r="L337" s="1"/>
      <c r="M337" s="1"/>
    </row>
    <row r="338" spans="11:13" ht="26.25" customHeight="1" x14ac:dyDescent="0.15">
      <c r="K338" s="1"/>
      <c r="L338" s="1"/>
      <c r="M338" s="1"/>
    </row>
    <row r="339" spans="11:13" ht="26.25" customHeight="1" x14ac:dyDescent="0.15">
      <c r="K339" s="1"/>
      <c r="L339" s="1"/>
      <c r="M339" s="1"/>
    </row>
    <row r="340" spans="11:13" ht="26.25" customHeight="1" x14ac:dyDescent="0.15">
      <c r="K340" s="1"/>
      <c r="L340" s="1"/>
      <c r="M340" s="1"/>
    </row>
    <row r="341" spans="11:13" ht="26.25" customHeight="1" x14ac:dyDescent="0.15">
      <c r="K341" s="1"/>
      <c r="L341" s="1"/>
      <c r="M341" s="1"/>
    </row>
    <row r="342" spans="11:13" ht="26.25" customHeight="1" x14ac:dyDescent="0.15">
      <c r="K342" s="1"/>
      <c r="L342" s="1"/>
      <c r="M342" s="1"/>
    </row>
    <row r="343" spans="11:13" ht="26.25" customHeight="1" x14ac:dyDescent="0.15">
      <c r="K343" s="1"/>
      <c r="L343" s="1"/>
      <c r="M343" s="1"/>
    </row>
    <row r="344" spans="11:13" ht="26.25" customHeight="1" x14ac:dyDescent="0.15">
      <c r="K344" s="1"/>
      <c r="L344" s="1"/>
      <c r="M344" s="1"/>
    </row>
    <row r="345" spans="11:13" ht="26.25" customHeight="1" x14ac:dyDescent="0.15">
      <c r="K345" s="1"/>
      <c r="L345" s="1"/>
      <c r="M345" s="1"/>
    </row>
    <row r="346" spans="11:13" ht="26.25" customHeight="1" x14ac:dyDescent="0.15">
      <c r="K346" s="1"/>
      <c r="L346" s="1"/>
      <c r="M346" s="1"/>
    </row>
    <row r="347" spans="11:13" ht="26.25" customHeight="1" x14ac:dyDescent="0.15">
      <c r="K347" s="1"/>
      <c r="L347" s="1"/>
      <c r="M347" s="1"/>
    </row>
    <row r="348" spans="11:13" ht="26.25" customHeight="1" x14ac:dyDescent="0.15">
      <c r="K348" s="1"/>
      <c r="L348" s="1"/>
      <c r="M348" s="1"/>
    </row>
    <row r="349" spans="11:13" ht="26.25" customHeight="1" x14ac:dyDescent="0.15">
      <c r="K349" s="1"/>
      <c r="L349" s="1"/>
      <c r="M349" s="1"/>
    </row>
    <row r="350" spans="11:13" ht="26.25" customHeight="1" x14ac:dyDescent="0.15">
      <c r="K350" s="1"/>
      <c r="L350" s="1"/>
      <c r="M350" s="1"/>
    </row>
    <row r="351" spans="11:13" ht="26.25" customHeight="1" x14ac:dyDescent="0.15">
      <c r="K351" s="1"/>
      <c r="L351" s="1"/>
      <c r="M351" s="1"/>
    </row>
    <row r="352" spans="11:13" ht="26.25" customHeight="1" x14ac:dyDescent="0.15">
      <c r="K352" s="1"/>
      <c r="L352" s="1"/>
      <c r="M352" s="1"/>
    </row>
    <row r="353" spans="11:13" ht="26.25" customHeight="1" x14ac:dyDescent="0.15">
      <c r="K353" s="1"/>
      <c r="L353" s="1"/>
      <c r="M353" s="1"/>
    </row>
    <row r="354" spans="11:13" ht="26.25" customHeight="1" x14ac:dyDescent="0.15">
      <c r="K354" s="1"/>
      <c r="L354" s="1"/>
      <c r="M354" s="1"/>
    </row>
    <row r="355" spans="11:13" ht="26.25" customHeight="1" x14ac:dyDescent="0.15">
      <c r="K355" s="1"/>
      <c r="L355" s="1"/>
      <c r="M355" s="1"/>
    </row>
    <row r="356" spans="11:13" ht="26.25" customHeight="1" x14ac:dyDescent="0.15">
      <c r="K356" s="1"/>
      <c r="L356" s="1"/>
      <c r="M356" s="1"/>
    </row>
    <row r="357" spans="11:13" ht="26.25" customHeight="1" x14ac:dyDescent="0.15">
      <c r="K357" s="1"/>
      <c r="L357" s="1"/>
      <c r="M357" s="1"/>
    </row>
    <row r="358" spans="11:13" ht="26.25" customHeight="1" x14ac:dyDescent="0.15">
      <c r="K358" s="1"/>
      <c r="L358" s="1"/>
      <c r="M358" s="1"/>
    </row>
    <row r="359" spans="11:13" ht="26.25" customHeight="1" x14ac:dyDescent="0.15">
      <c r="K359" s="1"/>
      <c r="L359" s="1"/>
      <c r="M359" s="1"/>
    </row>
    <row r="360" spans="11:13" ht="26.25" customHeight="1" x14ac:dyDescent="0.15">
      <c r="K360" s="1"/>
      <c r="L360" s="1"/>
      <c r="M360" s="1"/>
    </row>
    <row r="361" spans="11:13" ht="26.25" customHeight="1" x14ac:dyDescent="0.15">
      <c r="K361" s="1"/>
      <c r="L361" s="1"/>
      <c r="M361" s="1"/>
    </row>
    <row r="362" spans="11:13" ht="26.25" customHeight="1" x14ac:dyDescent="0.15">
      <c r="K362" s="1"/>
      <c r="L362" s="1"/>
      <c r="M362" s="1"/>
    </row>
    <row r="363" spans="11:13" ht="26.25" customHeight="1" x14ac:dyDescent="0.15">
      <c r="K363" s="1"/>
      <c r="L363" s="1"/>
      <c r="M363" s="1"/>
    </row>
    <row r="364" spans="11:13" ht="26.25" customHeight="1" x14ac:dyDescent="0.15">
      <c r="K364" s="1"/>
      <c r="L364" s="1"/>
      <c r="M364" s="1"/>
    </row>
    <row r="365" spans="11:13" ht="26.25" customHeight="1" x14ac:dyDescent="0.15">
      <c r="K365" s="1"/>
      <c r="L365" s="1"/>
      <c r="M365" s="1"/>
    </row>
    <row r="366" spans="11:13" ht="26.25" customHeight="1" x14ac:dyDescent="0.15">
      <c r="K366" s="1"/>
      <c r="L366" s="1"/>
      <c r="M366" s="1"/>
    </row>
    <row r="367" spans="11:13" ht="26.25" customHeight="1" x14ac:dyDescent="0.15">
      <c r="K367" s="1"/>
      <c r="L367" s="1"/>
      <c r="M367" s="1"/>
    </row>
    <row r="368" spans="11:13" ht="26.25" customHeight="1" x14ac:dyDescent="0.15">
      <c r="K368" s="1"/>
      <c r="L368" s="1"/>
      <c r="M368" s="1"/>
    </row>
    <row r="369" spans="11:13" ht="26.25" customHeight="1" x14ac:dyDescent="0.15">
      <c r="K369" s="1"/>
      <c r="L369" s="1"/>
      <c r="M369" s="1"/>
    </row>
    <row r="370" spans="11:13" ht="26.25" customHeight="1" x14ac:dyDescent="0.15">
      <c r="K370" s="1"/>
      <c r="L370" s="1"/>
      <c r="M370" s="1"/>
    </row>
    <row r="371" spans="11:13" ht="26.25" customHeight="1" x14ac:dyDescent="0.15">
      <c r="K371" s="1"/>
      <c r="L371" s="1"/>
      <c r="M371" s="1"/>
    </row>
    <row r="372" spans="11:13" ht="26.25" customHeight="1" x14ac:dyDescent="0.15">
      <c r="K372" s="1"/>
      <c r="L372" s="1"/>
      <c r="M372" s="1"/>
    </row>
    <row r="373" spans="11:13" ht="26.25" customHeight="1" x14ac:dyDescent="0.15">
      <c r="K373" s="1"/>
      <c r="L373" s="1"/>
      <c r="M373" s="1"/>
    </row>
    <row r="374" spans="11:13" ht="26.25" customHeight="1" x14ac:dyDescent="0.15">
      <c r="K374" s="1"/>
      <c r="L374" s="1"/>
      <c r="M374" s="1"/>
    </row>
    <row r="375" spans="11:13" ht="26.25" customHeight="1" x14ac:dyDescent="0.15">
      <c r="K375" s="1"/>
      <c r="L375" s="1"/>
      <c r="M375" s="1"/>
    </row>
    <row r="376" spans="11:13" ht="26.25" customHeight="1" x14ac:dyDescent="0.15">
      <c r="K376" s="1"/>
      <c r="L376" s="1"/>
      <c r="M376" s="1"/>
    </row>
    <row r="377" spans="11:13" ht="26.25" customHeight="1" x14ac:dyDescent="0.15">
      <c r="K377" s="1"/>
      <c r="L377" s="1"/>
      <c r="M377" s="1"/>
    </row>
    <row r="378" spans="11:13" ht="26.25" customHeight="1" x14ac:dyDescent="0.15">
      <c r="K378" s="1"/>
      <c r="L378" s="1"/>
      <c r="M378" s="1"/>
    </row>
    <row r="379" spans="11:13" ht="26.25" customHeight="1" x14ac:dyDescent="0.15">
      <c r="K379" s="1"/>
      <c r="L379" s="1"/>
      <c r="M379" s="1"/>
    </row>
    <row r="380" spans="11:13" ht="26.25" customHeight="1" x14ac:dyDescent="0.15">
      <c r="K380" s="1"/>
      <c r="L380" s="1"/>
      <c r="M380" s="1"/>
    </row>
    <row r="381" spans="11:13" ht="26.25" customHeight="1" x14ac:dyDescent="0.15">
      <c r="K381" s="1"/>
      <c r="L381" s="1"/>
      <c r="M381" s="1"/>
    </row>
    <row r="382" spans="11:13" ht="26.25" customHeight="1" x14ac:dyDescent="0.15">
      <c r="K382" s="1"/>
      <c r="L382" s="1"/>
      <c r="M382" s="1"/>
    </row>
    <row r="383" spans="11:13" ht="26.25" customHeight="1" x14ac:dyDescent="0.15">
      <c r="K383" s="1"/>
      <c r="L383" s="1"/>
      <c r="M383" s="1"/>
    </row>
    <row r="384" spans="11:13" ht="26.25" customHeight="1" x14ac:dyDescent="0.15">
      <c r="K384" s="1"/>
      <c r="L384" s="1"/>
      <c r="M384" s="1"/>
    </row>
    <row r="385" spans="11:13" ht="26.25" customHeight="1" x14ac:dyDescent="0.15">
      <c r="K385" s="1"/>
      <c r="L385" s="1"/>
      <c r="M385" s="1"/>
    </row>
    <row r="386" spans="11:13" ht="26.25" customHeight="1" x14ac:dyDescent="0.15">
      <c r="K386" s="1"/>
      <c r="L386" s="1"/>
      <c r="M386" s="1"/>
    </row>
    <row r="387" spans="11:13" ht="26.25" customHeight="1" x14ac:dyDescent="0.15">
      <c r="K387" s="1"/>
      <c r="L387" s="1"/>
      <c r="M387" s="1"/>
    </row>
    <row r="388" spans="11:13" ht="26.25" customHeight="1" x14ac:dyDescent="0.15">
      <c r="K388" s="1"/>
      <c r="L388" s="1"/>
      <c r="M388" s="1"/>
    </row>
    <row r="389" spans="11:13" ht="26.25" customHeight="1" x14ac:dyDescent="0.15">
      <c r="K389" s="1"/>
      <c r="L389" s="1"/>
      <c r="M389" s="1"/>
    </row>
    <row r="390" spans="11:13" ht="26.25" customHeight="1" x14ac:dyDescent="0.15">
      <c r="K390" s="1"/>
      <c r="L390" s="1"/>
      <c r="M390" s="1"/>
    </row>
    <row r="391" spans="11:13" ht="26.25" customHeight="1" x14ac:dyDescent="0.15">
      <c r="K391" s="1"/>
      <c r="L391" s="1"/>
      <c r="M391" s="1"/>
    </row>
    <row r="392" spans="11:13" ht="26.25" customHeight="1" x14ac:dyDescent="0.15">
      <c r="K392" s="1"/>
      <c r="L392" s="1"/>
      <c r="M392" s="1"/>
    </row>
    <row r="393" spans="11:13" ht="26.25" customHeight="1" x14ac:dyDescent="0.15">
      <c r="K393" s="1"/>
      <c r="L393" s="1"/>
      <c r="M393" s="1"/>
    </row>
    <row r="394" spans="11:13" ht="26.25" customHeight="1" x14ac:dyDescent="0.15">
      <c r="K394" s="1"/>
      <c r="L394" s="1"/>
      <c r="M394" s="1"/>
    </row>
    <row r="395" spans="11:13" ht="26.25" customHeight="1" x14ac:dyDescent="0.15">
      <c r="K395" s="1"/>
      <c r="L395" s="1"/>
      <c r="M395" s="1"/>
    </row>
    <row r="396" spans="11:13" ht="26.25" customHeight="1" x14ac:dyDescent="0.15">
      <c r="K396" s="1"/>
      <c r="L396" s="1"/>
      <c r="M396" s="1"/>
    </row>
    <row r="397" spans="11:13" ht="26.25" customHeight="1" x14ac:dyDescent="0.15">
      <c r="K397" s="1"/>
      <c r="L397" s="1"/>
      <c r="M397" s="1"/>
    </row>
    <row r="398" spans="11:13" ht="26.25" customHeight="1" x14ac:dyDescent="0.15">
      <c r="K398" s="1"/>
      <c r="L398" s="1"/>
      <c r="M398" s="1"/>
    </row>
    <row r="399" spans="11:13" ht="26.25" customHeight="1" x14ac:dyDescent="0.15">
      <c r="K399" s="1"/>
      <c r="L399" s="1"/>
      <c r="M399" s="1"/>
    </row>
    <row r="400" spans="11:13" ht="26.25" customHeight="1" x14ac:dyDescent="0.15">
      <c r="K400" s="1"/>
      <c r="L400" s="1"/>
      <c r="M400" s="1"/>
    </row>
    <row r="401" spans="11:13" ht="26.25" customHeight="1" x14ac:dyDescent="0.15">
      <c r="K401" s="1"/>
      <c r="L401" s="1"/>
      <c r="M401" s="1"/>
    </row>
    <row r="402" spans="11:13" ht="26.25" customHeight="1" x14ac:dyDescent="0.15">
      <c r="K402" s="1"/>
      <c r="L402" s="1"/>
      <c r="M402" s="1"/>
    </row>
    <row r="403" spans="11:13" ht="26.25" customHeight="1" x14ac:dyDescent="0.15">
      <c r="K403" s="1"/>
      <c r="L403" s="1"/>
      <c r="M403" s="1"/>
    </row>
    <row r="404" spans="11:13" ht="26.25" customHeight="1" x14ac:dyDescent="0.15">
      <c r="K404" s="1"/>
      <c r="L404" s="1"/>
      <c r="M404" s="1"/>
    </row>
    <row r="405" spans="11:13" ht="26.25" customHeight="1" x14ac:dyDescent="0.15">
      <c r="K405" s="1"/>
      <c r="L405" s="1"/>
      <c r="M405" s="1"/>
    </row>
    <row r="406" spans="11:13" ht="26.25" customHeight="1" x14ac:dyDescent="0.15">
      <c r="K406" s="1"/>
      <c r="L406" s="1"/>
      <c r="M406" s="1"/>
    </row>
    <row r="407" spans="11:13" ht="26.25" customHeight="1" x14ac:dyDescent="0.15">
      <c r="K407" s="1"/>
      <c r="L407" s="1"/>
      <c r="M407" s="1"/>
    </row>
    <row r="408" spans="11:13" ht="26.25" customHeight="1" x14ac:dyDescent="0.15">
      <c r="K408" s="1"/>
      <c r="L408" s="1"/>
      <c r="M408" s="1"/>
    </row>
    <row r="409" spans="11:13" ht="26.25" customHeight="1" x14ac:dyDescent="0.15">
      <c r="K409" s="1"/>
      <c r="L409" s="1"/>
      <c r="M409" s="1"/>
    </row>
    <row r="410" spans="11:13" ht="26.25" customHeight="1" x14ac:dyDescent="0.15">
      <c r="K410" s="1"/>
      <c r="L410" s="1"/>
      <c r="M410" s="1"/>
    </row>
    <row r="411" spans="11:13" ht="26.25" customHeight="1" x14ac:dyDescent="0.15">
      <c r="K411" s="1"/>
      <c r="L411" s="1"/>
      <c r="M411" s="1"/>
    </row>
    <row r="412" spans="11:13" ht="26.25" customHeight="1" x14ac:dyDescent="0.15">
      <c r="K412" s="1"/>
      <c r="L412" s="1"/>
      <c r="M412" s="1"/>
    </row>
    <row r="413" spans="11:13" ht="26.25" customHeight="1" x14ac:dyDescent="0.15">
      <c r="K413" s="1"/>
      <c r="L413" s="1"/>
      <c r="M413" s="1"/>
    </row>
    <row r="414" spans="11:13" ht="26.25" customHeight="1" x14ac:dyDescent="0.15">
      <c r="K414" s="1"/>
      <c r="L414" s="1"/>
      <c r="M414" s="1"/>
    </row>
    <row r="415" spans="11:13" ht="26.25" customHeight="1" x14ac:dyDescent="0.15">
      <c r="K415" s="1"/>
      <c r="L415" s="1"/>
      <c r="M415" s="1"/>
    </row>
    <row r="416" spans="11:13" ht="26.25" customHeight="1" x14ac:dyDescent="0.15">
      <c r="K416" s="1"/>
      <c r="L416" s="1"/>
      <c r="M416" s="1"/>
    </row>
    <row r="417" spans="11:13" ht="26.25" customHeight="1" x14ac:dyDescent="0.15">
      <c r="K417" s="1"/>
      <c r="L417" s="1"/>
      <c r="M417" s="1"/>
    </row>
    <row r="418" spans="11:13" ht="26.25" customHeight="1" x14ac:dyDescent="0.15">
      <c r="K418" s="1"/>
      <c r="L418" s="1"/>
      <c r="M418" s="1"/>
    </row>
    <row r="419" spans="11:13" ht="26.25" customHeight="1" x14ac:dyDescent="0.15">
      <c r="K419" s="1"/>
      <c r="L419" s="1"/>
      <c r="M419" s="1"/>
    </row>
    <row r="420" spans="11:13" ht="26.25" customHeight="1" x14ac:dyDescent="0.15">
      <c r="K420" s="1"/>
      <c r="L420" s="1"/>
      <c r="M420" s="1"/>
    </row>
    <row r="421" spans="11:13" ht="26.25" customHeight="1" x14ac:dyDescent="0.15">
      <c r="K421" s="1"/>
      <c r="L421" s="1"/>
      <c r="M421" s="1"/>
    </row>
    <row r="422" spans="11:13" ht="26.25" customHeight="1" x14ac:dyDescent="0.15">
      <c r="K422" s="1"/>
      <c r="L422" s="1"/>
      <c r="M422" s="1"/>
    </row>
    <row r="423" spans="11:13" ht="26.25" customHeight="1" x14ac:dyDescent="0.15">
      <c r="K423" s="1"/>
      <c r="L423" s="1"/>
      <c r="M423" s="1"/>
    </row>
    <row r="424" spans="11:13" ht="26.25" customHeight="1" x14ac:dyDescent="0.15">
      <c r="K424" s="1"/>
      <c r="L424" s="1"/>
      <c r="M424" s="1"/>
    </row>
    <row r="425" spans="11:13" ht="26.25" customHeight="1" x14ac:dyDescent="0.15">
      <c r="K425" s="1"/>
      <c r="L425" s="1"/>
      <c r="M425" s="1"/>
    </row>
    <row r="426" spans="11:13" ht="26.25" customHeight="1" x14ac:dyDescent="0.15">
      <c r="K426" s="1"/>
      <c r="L426" s="1"/>
      <c r="M426" s="1"/>
    </row>
    <row r="427" spans="11:13" ht="26.25" customHeight="1" x14ac:dyDescent="0.15">
      <c r="K427" s="1"/>
      <c r="L427" s="1"/>
      <c r="M427" s="1"/>
    </row>
    <row r="428" spans="11:13" ht="26.25" customHeight="1" x14ac:dyDescent="0.15">
      <c r="K428" s="1"/>
      <c r="L428" s="1"/>
      <c r="M428" s="1"/>
    </row>
    <row r="429" spans="11:13" ht="26.25" customHeight="1" x14ac:dyDescent="0.15">
      <c r="K429" s="1"/>
      <c r="L429" s="1"/>
      <c r="M429" s="1"/>
    </row>
    <row r="430" spans="11:13" ht="26.25" customHeight="1" x14ac:dyDescent="0.15">
      <c r="K430" s="1"/>
      <c r="L430" s="1"/>
      <c r="M430" s="1"/>
    </row>
    <row r="431" spans="11:13" ht="26.25" customHeight="1" x14ac:dyDescent="0.15">
      <c r="K431" s="1"/>
      <c r="L431" s="1"/>
      <c r="M431" s="1"/>
    </row>
    <row r="432" spans="11:13" ht="26.25" customHeight="1" x14ac:dyDescent="0.15">
      <c r="K432" s="1"/>
      <c r="L432" s="1"/>
      <c r="M432" s="1"/>
    </row>
    <row r="433" spans="11:13" ht="26.25" customHeight="1" x14ac:dyDescent="0.15">
      <c r="K433" s="1"/>
      <c r="L433" s="1"/>
      <c r="M433" s="1"/>
    </row>
    <row r="434" spans="11:13" ht="26.25" customHeight="1" x14ac:dyDescent="0.15">
      <c r="K434" s="1"/>
      <c r="L434" s="1"/>
      <c r="M434" s="1"/>
    </row>
    <row r="435" spans="11:13" ht="26.25" customHeight="1" x14ac:dyDescent="0.15">
      <c r="K435" s="1"/>
      <c r="L435" s="1"/>
      <c r="M435" s="1"/>
    </row>
    <row r="436" spans="11:13" ht="26.25" customHeight="1" x14ac:dyDescent="0.15">
      <c r="K436" s="1"/>
      <c r="L436" s="1"/>
      <c r="M436" s="1"/>
    </row>
    <row r="437" spans="11:13" ht="26.25" customHeight="1" x14ac:dyDescent="0.15">
      <c r="K437" s="1"/>
      <c r="L437" s="1"/>
      <c r="M437" s="1"/>
    </row>
    <row r="438" spans="11:13" ht="26.25" customHeight="1" x14ac:dyDescent="0.15">
      <c r="K438" s="1"/>
      <c r="L438" s="1"/>
      <c r="M438" s="1"/>
    </row>
    <row r="439" spans="11:13" ht="26.25" customHeight="1" x14ac:dyDescent="0.15">
      <c r="K439" s="1"/>
      <c r="L439" s="1"/>
      <c r="M439" s="1"/>
    </row>
    <row r="440" spans="11:13" ht="26.25" customHeight="1" x14ac:dyDescent="0.15">
      <c r="K440" s="1"/>
      <c r="L440" s="1"/>
      <c r="M440" s="1"/>
    </row>
    <row r="441" spans="11:13" ht="26.25" customHeight="1" x14ac:dyDescent="0.15">
      <c r="K441" s="1"/>
      <c r="L441" s="1"/>
      <c r="M441" s="1"/>
    </row>
    <row r="442" spans="11:13" ht="26.25" customHeight="1" x14ac:dyDescent="0.15">
      <c r="K442" s="1"/>
      <c r="L442" s="1"/>
      <c r="M442" s="1"/>
    </row>
    <row r="443" spans="11:13" ht="26.25" customHeight="1" x14ac:dyDescent="0.15">
      <c r="K443" s="1"/>
      <c r="L443" s="1"/>
      <c r="M443" s="1"/>
    </row>
    <row r="444" spans="11:13" ht="26.25" customHeight="1" x14ac:dyDescent="0.15">
      <c r="K444" s="1"/>
      <c r="L444" s="1"/>
      <c r="M444" s="1"/>
    </row>
    <row r="445" spans="11:13" ht="26.25" customHeight="1" x14ac:dyDescent="0.15">
      <c r="K445" s="1"/>
      <c r="L445" s="1"/>
      <c r="M445" s="1"/>
    </row>
    <row r="446" spans="11:13" ht="26.25" customHeight="1" x14ac:dyDescent="0.15">
      <c r="K446" s="1"/>
      <c r="L446" s="1"/>
      <c r="M446" s="1"/>
    </row>
    <row r="447" spans="11:13" ht="26.25" customHeight="1" x14ac:dyDescent="0.15">
      <c r="K447" s="1"/>
      <c r="L447" s="1"/>
      <c r="M447" s="1"/>
    </row>
    <row r="448" spans="11:13" ht="26.25" customHeight="1" x14ac:dyDescent="0.15">
      <c r="K448" s="1"/>
      <c r="L448" s="1"/>
      <c r="M448" s="1"/>
    </row>
    <row r="449" spans="11:13" ht="26.25" customHeight="1" x14ac:dyDescent="0.15">
      <c r="K449" s="1"/>
      <c r="L449" s="1"/>
      <c r="M449" s="1"/>
    </row>
    <row r="450" spans="11:13" ht="26.25" customHeight="1" x14ac:dyDescent="0.15">
      <c r="K450" s="1"/>
      <c r="L450" s="1"/>
      <c r="M450" s="1"/>
    </row>
    <row r="451" spans="11:13" ht="26.25" customHeight="1" x14ac:dyDescent="0.15">
      <c r="K451" s="1"/>
      <c r="L451" s="1"/>
      <c r="M451" s="1"/>
    </row>
    <row r="452" spans="11:13" ht="26.25" customHeight="1" x14ac:dyDescent="0.15">
      <c r="K452" s="1"/>
      <c r="L452" s="1"/>
      <c r="M452" s="1"/>
    </row>
    <row r="453" spans="11:13" ht="26.25" customHeight="1" x14ac:dyDescent="0.15">
      <c r="K453" s="1"/>
      <c r="L453" s="1"/>
      <c r="M453" s="1"/>
    </row>
    <row r="454" spans="11:13" ht="26.25" customHeight="1" x14ac:dyDescent="0.15">
      <c r="K454" s="1"/>
      <c r="L454" s="1"/>
      <c r="M454" s="1"/>
    </row>
    <row r="455" spans="11:13" ht="26.25" customHeight="1" x14ac:dyDescent="0.15">
      <c r="K455" s="1"/>
      <c r="L455" s="1"/>
      <c r="M455" s="1"/>
    </row>
    <row r="456" spans="11:13" ht="26.25" customHeight="1" x14ac:dyDescent="0.15">
      <c r="K456" s="1"/>
      <c r="L456" s="1"/>
      <c r="M456" s="1"/>
    </row>
    <row r="457" spans="11:13" ht="26.25" customHeight="1" x14ac:dyDescent="0.15">
      <c r="K457" s="1"/>
      <c r="L457" s="1"/>
      <c r="M457" s="1"/>
    </row>
    <row r="458" spans="11:13" ht="26.25" customHeight="1" x14ac:dyDescent="0.15">
      <c r="K458" s="1"/>
      <c r="L458" s="1"/>
      <c r="M458" s="1"/>
    </row>
    <row r="459" spans="11:13" ht="26.25" customHeight="1" x14ac:dyDescent="0.15">
      <c r="K459" s="1"/>
      <c r="L459" s="1"/>
      <c r="M459" s="1"/>
    </row>
    <row r="460" spans="11:13" ht="26.25" customHeight="1" x14ac:dyDescent="0.15">
      <c r="K460" s="1"/>
      <c r="L460" s="1"/>
      <c r="M460" s="1"/>
    </row>
    <row r="461" spans="11:13" ht="26.25" customHeight="1" x14ac:dyDescent="0.15">
      <c r="K461" s="1"/>
      <c r="L461" s="1"/>
      <c r="M461" s="1"/>
    </row>
    <row r="462" spans="11:13" ht="26.25" customHeight="1" x14ac:dyDescent="0.15">
      <c r="K462" s="1"/>
      <c r="L462" s="1"/>
      <c r="M462" s="1"/>
    </row>
    <row r="463" spans="11:13" ht="26.25" customHeight="1" x14ac:dyDescent="0.15">
      <c r="K463" s="1"/>
      <c r="L463" s="1"/>
      <c r="M463" s="1"/>
    </row>
    <row r="464" spans="11:13" ht="26.25" customHeight="1" x14ac:dyDescent="0.15">
      <c r="K464" s="1"/>
      <c r="L464" s="1"/>
      <c r="M464" s="1"/>
    </row>
    <row r="465" spans="11:13" ht="26.25" customHeight="1" x14ac:dyDescent="0.15">
      <c r="K465" s="1"/>
      <c r="L465" s="1"/>
      <c r="M465" s="1"/>
    </row>
    <row r="466" spans="11:13" ht="26.25" customHeight="1" x14ac:dyDescent="0.15">
      <c r="K466" s="1"/>
      <c r="L466" s="1"/>
      <c r="M466" s="1"/>
    </row>
    <row r="467" spans="11:13" ht="26.25" customHeight="1" x14ac:dyDescent="0.15">
      <c r="K467" s="1"/>
      <c r="L467" s="1"/>
      <c r="M467" s="1"/>
    </row>
    <row r="468" spans="11:13" ht="26.25" customHeight="1" x14ac:dyDescent="0.15">
      <c r="K468" s="1"/>
      <c r="L468" s="1"/>
      <c r="M468" s="1"/>
    </row>
    <row r="469" spans="11:13" ht="26.25" customHeight="1" x14ac:dyDescent="0.15">
      <c r="K469" s="1"/>
      <c r="L469" s="1"/>
      <c r="M469" s="1"/>
    </row>
    <row r="470" spans="11:13" ht="26.25" customHeight="1" x14ac:dyDescent="0.15">
      <c r="K470" s="1"/>
      <c r="L470" s="1"/>
      <c r="M470" s="1"/>
    </row>
    <row r="471" spans="11:13" ht="26.25" customHeight="1" x14ac:dyDescent="0.15">
      <c r="K471" s="1"/>
      <c r="L471" s="1"/>
      <c r="M471" s="1"/>
    </row>
    <row r="472" spans="11:13" ht="26.25" customHeight="1" x14ac:dyDescent="0.15">
      <c r="K472" s="1"/>
      <c r="L472" s="1"/>
      <c r="M472" s="1"/>
    </row>
    <row r="473" spans="11:13" ht="26.25" customHeight="1" x14ac:dyDescent="0.15">
      <c r="K473" s="1"/>
      <c r="L473" s="1"/>
      <c r="M473" s="1"/>
    </row>
    <row r="474" spans="11:13" ht="26.25" customHeight="1" x14ac:dyDescent="0.15">
      <c r="K474" s="1"/>
      <c r="L474" s="1"/>
      <c r="M474" s="1"/>
    </row>
    <row r="475" spans="11:13" ht="26.25" customHeight="1" x14ac:dyDescent="0.15">
      <c r="K475" s="1"/>
      <c r="L475" s="1"/>
      <c r="M475" s="1"/>
    </row>
    <row r="476" spans="11:13" ht="26.25" customHeight="1" x14ac:dyDescent="0.15">
      <c r="K476" s="1"/>
      <c r="L476" s="1"/>
      <c r="M476" s="1"/>
    </row>
    <row r="477" spans="11:13" ht="26.25" customHeight="1" x14ac:dyDescent="0.15">
      <c r="K477" s="1"/>
      <c r="L477" s="1"/>
      <c r="M477" s="1"/>
    </row>
    <row r="478" spans="11:13" ht="26.25" customHeight="1" x14ac:dyDescent="0.15">
      <c r="K478" s="1"/>
      <c r="L478" s="1"/>
      <c r="M478" s="1"/>
    </row>
    <row r="479" spans="11:13" ht="26.25" customHeight="1" x14ac:dyDescent="0.15">
      <c r="K479" s="1"/>
      <c r="L479" s="1"/>
      <c r="M479" s="1"/>
    </row>
    <row r="480" spans="11:13" ht="26.25" customHeight="1" x14ac:dyDescent="0.15">
      <c r="K480" s="1"/>
      <c r="L480" s="1"/>
      <c r="M480" s="1"/>
    </row>
    <row r="481" spans="11:13" ht="26.25" customHeight="1" x14ac:dyDescent="0.15">
      <c r="K481" s="1"/>
      <c r="L481" s="1"/>
      <c r="M481" s="1"/>
    </row>
    <row r="482" spans="11:13" ht="26.25" customHeight="1" x14ac:dyDescent="0.15">
      <c r="K482" s="1"/>
      <c r="L482" s="1"/>
      <c r="M482" s="1"/>
    </row>
    <row r="483" spans="11:13" ht="26.25" customHeight="1" x14ac:dyDescent="0.15">
      <c r="K483" s="1"/>
      <c r="L483" s="1"/>
      <c r="M483" s="1"/>
    </row>
    <row r="484" spans="11:13" ht="26.25" customHeight="1" x14ac:dyDescent="0.15">
      <c r="K484" s="1"/>
      <c r="L484" s="1"/>
      <c r="M484" s="1"/>
    </row>
    <row r="485" spans="11:13" ht="26.25" customHeight="1" x14ac:dyDescent="0.15">
      <c r="K485" s="1"/>
      <c r="L485" s="1"/>
      <c r="M485" s="1"/>
    </row>
    <row r="486" spans="11:13" ht="26.25" customHeight="1" x14ac:dyDescent="0.15">
      <c r="K486" s="1"/>
      <c r="L486" s="1"/>
      <c r="M486" s="1"/>
    </row>
    <row r="487" spans="11:13" ht="26.25" customHeight="1" x14ac:dyDescent="0.15">
      <c r="K487" s="1"/>
      <c r="L487" s="1"/>
      <c r="M487" s="1"/>
    </row>
    <row r="488" spans="11:13" ht="26.25" customHeight="1" x14ac:dyDescent="0.15">
      <c r="K488" s="1"/>
      <c r="L488" s="1"/>
      <c r="M488" s="1"/>
    </row>
    <row r="489" spans="11:13" ht="26.25" customHeight="1" x14ac:dyDescent="0.15">
      <c r="K489" s="1"/>
      <c r="L489" s="1"/>
      <c r="M489" s="1"/>
    </row>
    <row r="490" spans="11:13" ht="26.25" customHeight="1" x14ac:dyDescent="0.15">
      <c r="K490" s="1"/>
      <c r="L490" s="1"/>
      <c r="M490" s="1"/>
    </row>
    <row r="491" spans="11:13" ht="26.25" customHeight="1" x14ac:dyDescent="0.15">
      <c r="K491" s="1"/>
      <c r="L491" s="1"/>
      <c r="M491" s="1"/>
    </row>
    <row r="492" spans="11:13" ht="26.25" customHeight="1" x14ac:dyDescent="0.15">
      <c r="K492" s="1"/>
      <c r="L492" s="1"/>
      <c r="M492" s="1"/>
    </row>
    <row r="493" spans="11:13" ht="26.25" customHeight="1" x14ac:dyDescent="0.15">
      <c r="K493" s="1"/>
      <c r="L493" s="1"/>
      <c r="M493" s="1"/>
    </row>
    <row r="494" spans="11:13" ht="26.25" customHeight="1" x14ac:dyDescent="0.15">
      <c r="K494" s="1"/>
      <c r="L494" s="1"/>
      <c r="M494" s="1"/>
    </row>
    <row r="495" spans="11:13" ht="26.25" customHeight="1" x14ac:dyDescent="0.15">
      <c r="K495" s="1"/>
      <c r="L495" s="1"/>
      <c r="M495" s="1"/>
    </row>
    <row r="496" spans="11:13" ht="26.25" customHeight="1" x14ac:dyDescent="0.15">
      <c r="K496" s="1"/>
      <c r="L496" s="1"/>
      <c r="M496" s="1"/>
    </row>
    <row r="497" spans="11:13" ht="26.25" customHeight="1" x14ac:dyDescent="0.15">
      <c r="K497" s="1"/>
      <c r="L497" s="1"/>
      <c r="M497" s="1"/>
    </row>
    <row r="498" spans="11:13" ht="26.25" customHeight="1" x14ac:dyDescent="0.15">
      <c r="K498" s="1"/>
      <c r="L498" s="1"/>
      <c r="M498" s="1"/>
    </row>
    <row r="499" spans="11:13" ht="26.25" customHeight="1" x14ac:dyDescent="0.15">
      <c r="K499" s="1"/>
      <c r="L499" s="1"/>
      <c r="M499" s="1"/>
    </row>
    <row r="500" spans="11:13" ht="26.25" customHeight="1" x14ac:dyDescent="0.15">
      <c r="K500" s="1"/>
      <c r="L500" s="1"/>
      <c r="M500" s="1"/>
    </row>
    <row r="501" spans="11:13" ht="26.25" customHeight="1" x14ac:dyDescent="0.15">
      <c r="K501" s="1"/>
      <c r="L501" s="1"/>
      <c r="M501" s="1"/>
    </row>
    <row r="502" spans="11:13" ht="26.25" customHeight="1" x14ac:dyDescent="0.15">
      <c r="K502" s="1"/>
      <c r="L502" s="1"/>
      <c r="M502" s="1"/>
    </row>
    <row r="503" spans="11:13" ht="26.25" customHeight="1" x14ac:dyDescent="0.15">
      <c r="K503" s="1"/>
      <c r="L503" s="1"/>
      <c r="M503" s="1"/>
    </row>
    <row r="504" spans="11:13" ht="26.25" customHeight="1" x14ac:dyDescent="0.15">
      <c r="K504" s="1"/>
      <c r="L504" s="1"/>
      <c r="M504" s="1"/>
    </row>
    <row r="505" spans="11:13" ht="26.25" customHeight="1" x14ac:dyDescent="0.15">
      <c r="K505" s="1"/>
      <c r="L505" s="1"/>
      <c r="M505" s="1"/>
    </row>
    <row r="506" spans="11:13" ht="26.25" customHeight="1" x14ac:dyDescent="0.15">
      <c r="K506" s="1"/>
      <c r="L506" s="1"/>
      <c r="M506" s="1"/>
    </row>
    <row r="507" spans="11:13" ht="26.25" customHeight="1" x14ac:dyDescent="0.15">
      <c r="K507" s="1"/>
      <c r="L507" s="1"/>
      <c r="M507" s="1"/>
    </row>
    <row r="508" spans="11:13" ht="26.25" customHeight="1" x14ac:dyDescent="0.15">
      <c r="K508" s="1"/>
      <c r="L508" s="1"/>
      <c r="M508" s="1"/>
    </row>
    <row r="509" spans="11:13" ht="26.25" customHeight="1" x14ac:dyDescent="0.15">
      <c r="K509" s="1"/>
      <c r="L509" s="1"/>
      <c r="M509" s="1"/>
    </row>
    <row r="510" spans="11:13" ht="26.25" customHeight="1" x14ac:dyDescent="0.15">
      <c r="K510" s="1"/>
      <c r="L510" s="1"/>
      <c r="M510" s="1"/>
    </row>
    <row r="511" spans="11:13" ht="26.25" customHeight="1" x14ac:dyDescent="0.15">
      <c r="K511" s="1"/>
      <c r="L511" s="1"/>
      <c r="M511" s="1"/>
    </row>
    <row r="512" spans="11:13" ht="26.25" customHeight="1" x14ac:dyDescent="0.15">
      <c r="K512" s="1"/>
      <c r="L512" s="1"/>
      <c r="M512" s="1"/>
    </row>
    <row r="513" spans="11:13" ht="26.25" customHeight="1" x14ac:dyDescent="0.15">
      <c r="K513" s="1"/>
      <c r="L513" s="1"/>
      <c r="M513" s="1"/>
    </row>
    <row r="514" spans="11:13" ht="26.25" customHeight="1" x14ac:dyDescent="0.15">
      <c r="K514" s="1"/>
      <c r="L514" s="1"/>
      <c r="M514" s="1"/>
    </row>
    <row r="515" spans="11:13" ht="26.25" customHeight="1" x14ac:dyDescent="0.15">
      <c r="K515" s="1"/>
      <c r="L515" s="1"/>
      <c r="M515" s="1"/>
    </row>
    <row r="516" spans="11:13" ht="26.25" customHeight="1" x14ac:dyDescent="0.15">
      <c r="K516" s="1"/>
      <c r="L516" s="1"/>
      <c r="M516" s="1"/>
    </row>
    <row r="517" spans="11:13" ht="26.25" customHeight="1" x14ac:dyDescent="0.15">
      <c r="K517" s="1"/>
      <c r="L517" s="1"/>
      <c r="M517" s="1"/>
    </row>
    <row r="518" spans="11:13" ht="26.25" customHeight="1" x14ac:dyDescent="0.15">
      <c r="K518" s="1"/>
      <c r="L518" s="1"/>
      <c r="M518" s="1"/>
    </row>
    <row r="519" spans="11:13" ht="26.25" customHeight="1" x14ac:dyDescent="0.15">
      <c r="K519" s="1"/>
      <c r="L519" s="1"/>
      <c r="M519" s="1"/>
    </row>
    <row r="520" spans="11:13" ht="26.25" customHeight="1" x14ac:dyDescent="0.15">
      <c r="K520" s="1"/>
      <c r="L520" s="1"/>
      <c r="M520" s="1"/>
    </row>
    <row r="521" spans="11:13" ht="26.25" customHeight="1" x14ac:dyDescent="0.15">
      <c r="K521" s="1"/>
      <c r="L521" s="1"/>
      <c r="M521" s="1"/>
    </row>
    <row r="522" spans="11:13" ht="26.25" customHeight="1" x14ac:dyDescent="0.15">
      <c r="K522" s="1"/>
      <c r="L522" s="1"/>
      <c r="M522" s="1"/>
    </row>
    <row r="523" spans="11:13" ht="26.25" customHeight="1" x14ac:dyDescent="0.15">
      <c r="K523" s="1"/>
      <c r="L523" s="1"/>
      <c r="M523" s="1"/>
    </row>
    <row r="524" spans="11:13" ht="26.25" customHeight="1" x14ac:dyDescent="0.15">
      <c r="K524" s="1"/>
      <c r="L524" s="1"/>
      <c r="M524" s="1"/>
    </row>
    <row r="525" spans="11:13" ht="26.25" customHeight="1" x14ac:dyDescent="0.15">
      <c r="K525" s="1"/>
      <c r="L525" s="1"/>
      <c r="M525" s="1"/>
    </row>
    <row r="526" spans="11:13" ht="26.25" customHeight="1" x14ac:dyDescent="0.15">
      <c r="K526" s="1"/>
      <c r="L526" s="1"/>
      <c r="M526" s="1"/>
    </row>
    <row r="527" spans="11:13" ht="26.25" customHeight="1" x14ac:dyDescent="0.15">
      <c r="K527" s="1"/>
      <c r="L527" s="1"/>
      <c r="M527" s="1"/>
    </row>
    <row r="528" spans="11:13" ht="26.25" customHeight="1" x14ac:dyDescent="0.15">
      <c r="K528" s="1"/>
      <c r="L528" s="1"/>
      <c r="M528" s="1"/>
    </row>
    <row r="529" spans="11:13" ht="26.25" customHeight="1" x14ac:dyDescent="0.15">
      <c r="K529" s="1"/>
      <c r="L529" s="1"/>
      <c r="M529" s="1"/>
    </row>
    <row r="530" spans="11:13" ht="26.25" customHeight="1" x14ac:dyDescent="0.15">
      <c r="K530" s="1"/>
      <c r="L530" s="1"/>
      <c r="M530" s="1"/>
    </row>
    <row r="531" spans="11:13" ht="26.25" customHeight="1" x14ac:dyDescent="0.15">
      <c r="K531" s="1"/>
      <c r="L531" s="1"/>
      <c r="M531" s="1"/>
    </row>
    <row r="532" spans="11:13" ht="26.25" customHeight="1" x14ac:dyDescent="0.15">
      <c r="K532" s="1"/>
      <c r="L532" s="1"/>
      <c r="M532" s="1"/>
    </row>
    <row r="533" spans="11:13" ht="26.25" customHeight="1" x14ac:dyDescent="0.15">
      <c r="K533" s="1"/>
      <c r="L533" s="1"/>
      <c r="M533" s="1"/>
    </row>
    <row r="534" spans="11:13" ht="26.25" customHeight="1" x14ac:dyDescent="0.15">
      <c r="K534" s="1"/>
      <c r="L534" s="1"/>
      <c r="M534" s="1"/>
    </row>
    <row r="535" spans="11:13" ht="26.25" customHeight="1" x14ac:dyDescent="0.15">
      <c r="K535" s="1"/>
      <c r="L535" s="1"/>
      <c r="M535" s="1"/>
    </row>
    <row r="536" spans="11:13" ht="26.25" customHeight="1" x14ac:dyDescent="0.15">
      <c r="K536" s="1"/>
      <c r="L536" s="1"/>
      <c r="M536" s="1"/>
    </row>
    <row r="537" spans="11:13" ht="26.25" customHeight="1" x14ac:dyDescent="0.15">
      <c r="K537" s="1"/>
      <c r="L537" s="1"/>
      <c r="M537" s="1"/>
    </row>
    <row r="538" spans="11:13" ht="26.25" customHeight="1" x14ac:dyDescent="0.15">
      <c r="K538" s="1"/>
      <c r="L538" s="1"/>
      <c r="M538" s="1"/>
    </row>
    <row r="539" spans="11:13" ht="26.25" customHeight="1" x14ac:dyDescent="0.15">
      <c r="K539" s="1"/>
      <c r="L539" s="1"/>
      <c r="M539" s="1"/>
    </row>
    <row r="540" spans="11:13" ht="26.25" customHeight="1" x14ac:dyDescent="0.15">
      <c r="K540" s="1"/>
      <c r="L540" s="1"/>
      <c r="M540" s="1"/>
    </row>
    <row r="541" spans="11:13" ht="26.25" customHeight="1" x14ac:dyDescent="0.15">
      <c r="K541" s="1"/>
      <c r="L541" s="1"/>
      <c r="M541" s="1"/>
    </row>
    <row r="542" spans="11:13" ht="26.25" customHeight="1" x14ac:dyDescent="0.15">
      <c r="K542" s="1"/>
      <c r="L542" s="1"/>
      <c r="M542" s="1"/>
    </row>
    <row r="543" spans="11:13" ht="26.25" customHeight="1" x14ac:dyDescent="0.15">
      <c r="K543" s="1"/>
      <c r="L543" s="1"/>
      <c r="M543" s="1"/>
    </row>
    <row r="544" spans="11:13" ht="26.25" customHeight="1" x14ac:dyDescent="0.15">
      <c r="K544" s="1"/>
      <c r="L544" s="1"/>
      <c r="M544" s="1"/>
    </row>
    <row r="545" spans="11:13" ht="26.25" customHeight="1" x14ac:dyDescent="0.15">
      <c r="K545" s="1"/>
      <c r="L545" s="1"/>
      <c r="M545" s="1"/>
    </row>
    <row r="546" spans="11:13" ht="26.25" customHeight="1" x14ac:dyDescent="0.15">
      <c r="K546" s="1"/>
      <c r="L546" s="1"/>
      <c r="M546" s="1"/>
    </row>
    <row r="547" spans="11:13" ht="26.25" customHeight="1" x14ac:dyDescent="0.15">
      <c r="K547" s="1"/>
      <c r="L547" s="1"/>
      <c r="M547" s="1"/>
    </row>
    <row r="548" spans="11:13" ht="26.25" customHeight="1" x14ac:dyDescent="0.15">
      <c r="K548" s="1"/>
      <c r="L548" s="1"/>
      <c r="M548" s="1"/>
    </row>
    <row r="549" spans="11:13" ht="26.25" customHeight="1" x14ac:dyDescent="0.15">
      <c r="K549" s="1"/>
      <c r="L549" s="1"/>
      <c r="M549" s="1"/>
    </row>
    <row r="550" spans="11:13" ht="26.25" customHeight="1" x14ac:dyDescent="0.15">
      <c r="K550" s="1"/>
      <c r="L550" s="1"/>
      <c r="M550" s="1"/>
    </row>
    <row r="551" spans="11:13" ht="26.25" customHeight="1" x14ac:dyDescent="0.15">
      <c r="K551" s="1"/>
      <c r="L551" s="1"/>
      <c r="M551" s="1"/>
    </row>
    <row r="552" spans="11:13" ht="26.25" customHeight="1" x14ac:dyDescent="0.15">
      <c r="K552" s="1"/>
      <c r="L552" s="1"/>
      <c r="M552" s="1"/>
    </row>
    <row r="553" spans="11:13" ht="26.25" customHeight="1" x14ac:dyDescent="0.15">
      <c r="K553" s="1"/>
      <c r="L553" s="1"/>
      <c r="M553" s="1"/>
    </row>
    <row r="554" spans="11:13" ht="26.25" customHeight="1" x14ac:dyDescent="0.15">
      <c r="K554" s="1"/>
      <c r="L554" s="1"/>
      <c r="M554" s="1"/>
    </row>
    <row r="555" spans="11:13" ht="26.25" customHeight="1" x14ac:dyDescent="0.15">
      <c r="K555" s="1"/>
      <c r="L555" s="1"/>
      <c r="M555" s="1"/>
    </row>
    <row r="556" spans="11:13" ht="26.25" customHeight="1" x14ac:dyDescent="0.15">
      <c r="K556" s="1"/>
      <c r="L556" s="1"/>
      <c r="M556" s="1"/>
    </row>
    <row r="557" spans="11:13" ht="26.25" customHeight="1" x14ac:dyDescent="0.15">
      <c r="K557" s="1"/>
      <c r="L557" s="1"/>
      <c r="M557" s="1"/>
    </row>
    <row r="558" spans="11:13" ht="26.25" customHeight="1" x14ac:dyDescent="0.15">
      <c r="K558" s="1"/>
      <c r="L558" s="1"/>
      <c r="M558" s="1"/>
    </row>
    <row r="559" spans="11:13" ht="26.25" customHeight="1" x14ac:dyDescent="0.15">
      <c r="K559" s="1"/>
      <c r="L559" s="1"/>
      <c r="M559" s="1"/>
    </row>
    <row r="560" spans="11:13" ht="26.25" customHeight="1" x14ac:dyDescent="0.15">
      <c r="K560" s="1"/>
      <c r="L560" s="1"/>
      <c r="M560" s="1"/>
    </row>
    <row r="561" spans="11:13" ht="26.25" customHeight="1" x14ac:dyDescent="0.15">
      <c r="K561" s="1"/>
      <c r="L561" s="1"/>
      <c r="M561" s="1"/>
    </row>
    <row r="562" spans="11:13" ht="26.25" customHeight="1" x14ac:dyDescent="0.15">
      <c r="K562" s="1"/>
      <c r="L562" s="1"/>
      <c r="M562" s="1"/>
    </row>
    <row r="563" spans="11:13" ht="26.25" customHeight="1" x14ac:dyDescent="0.15">
      <c r="K563" s="1"/>
      <c r="L563" s="1"/>
      <c r="M563" s="1"/>
    </row>
    <row r="564" spans="11:13" ht="26.25" customHeight="1" x14ac:dyDescent="0.15">
      <c r="K564" s="1"/>
      <c r="L564" s="1"/>
      <c r="M564" s="1"/>
    </row>
    <row r="565" spans="11:13" ht="26.25" customHeight="1" x14ac:dyDescent="0.15">
      <c r="K565" s="1"/>
      <c r="L565" s="1"/>
      <c r="M565" s="1"/>
    </row>
    <row r="566" spans="11:13" ht="26.25" customHeight="1" x14ac:dyDescent="0.15">
      <c r="K566" s="1"/>
      <c r="L566" s="1"/>
      <c r="M566" s="1"/>
    </row>
    <row r="567" spans="11:13" ht="26.25" customHeight="1" x14ac:dyDescent="0.15">
      <c r="K567" s="1"/>
      <c r="L567" s="1"/>
      <c r="M567" s="1"/>
    </row>
    <row r="568" spans="11:13" ht="26.25" customHeight="1" x14ac:dyDescent="0.15">
      <c r="K568" s="1"/>
      <c r="L568" s="1"/>
      <c r="M568" s="1"/>
    </row>
    <row r="569" spans="11:13" ht="26.25" customHeight="1" x14ac:dyDescent="0.15">
      <c r="K569" s="1"/>
      <c r="L569" s="1"/>
      <c r="M569" s="1"/>
    </row>
    <row r="570" spans="11:13" ht="26.25" customHeight="1" x14ac:dyDescent="0.15">
      <c r="K570" s="1"/>
      <c r="L570" s="1"/>
      <c r="M570" s="1"/>
    </row>
    <row r="571" spans="11:13" ht="26.25" customHeight="1" x14ac:dyDescent="0.15">
      <c r="K571" s="1"/>
      <c r="L571" s="1"/>
      <c r="M571" s="1"/>
    </row>
    <row r="572" spans="11:13" ht="26.25" customHeight="1" x14ac:dyDescent="0.15">
      <c r="K572" s="1"/>
      <c r="L572" s="1"/>
      <c r="M572" s="1"/>
    </row>
    <row r="573" spans="11:13" ht="26.25" customHeight="1" x14ac:dyDescent="0.15">
      <c r="K573" s="1"/>
      <c r="L573" s="1"/>
      <c r="M573" s="1"/>
    </row>
    <row r="574" spans="11:13" ht="26.25" customHeight="1" x14ac:dyDescent="0.15">
      <c r="K574" s="1"/>
      <c r="L574" s="1"/>
      <c r="M574" s="1"/>
    </row>
    <row r="575" spans="11:13" ht="26.25" customHeight="1" x14ac:dyDescent="0.15">
      <c r="K575" s="1"/>
      <c r="L575" s="1"/>
      <c r="M575" s="1"/>
    </row>
    <row r="576" spans="11:13" ht="26.25" customHeight="1" x14ac:dyDescent="0.15">
      <c r="K576" s="1"/>
      <c r="L576" s="1"/>
      <c r="M576" s="1"/>
    </row>
    <row r="577" spans="11:13" ht="26.25" customHeight="1" x14ac:dyDescent="0.15">
      <c r="K577" s="1"/>
      <c r="L577" s="1"/>
      <c r="M577" s="1"/>
    </row>
    <row r="578" spans="11:13" ht="26.25" customHeight="1" x14ac:dyDescent="0.15">
      <c r="K578" s="1"/>
      <c r="L578" s="1"/>
      <c r="M578" s="1"/>
    </row>
    <row r="579" spans="11:13" ht="26.25" customHeight="1" x14ac:dyDescent="0.15">
      <c r="K579" s="1"/>
      <c r="L579" s="1"/>
      <c r="M579" s="1"/>
    </row>
    <row r="580" spans="11:13" ht="26.25" customHeight="1" x14ac:dyDescent="0.15">
      <c r="K580" s="1"/>
      <c r="L580" s="1"/>
      <c r="M580" s="1"/>
    </row>
    <row r="581" spans="11:13" ht="26.25" customHeight="1" x14ac:dyDescent="0.15">
      <c r="K581" s="1"/>
      <c r="L581" s="1"/>
      <c r="M581" s="1"/>
    </row>
    <row r="582" spans="11:13" ht="26.25" customHeight="1" x14ac:dyDescent="0.15">
      <c r="K582" s="1"/>
      <c r="L582" s="1"/>
      <c r="M582" s="1"/>
    </row>
    <row r="583" spans="11:13" ht="26.25" customHeight="1" x14ac:dyDescent="0.15">
      <c r="K583" s="1"/>
      <c r="L583" s="1"/>
      <c r="M583" s="1"/>
    </row>
    <row r="584" spans="11:13" ht="26.25" customHeight="1" x14ac:dyDescent="0.15">
      <c r="K584" s="1"/>
      <c r="L584" s="1"/>
      <c r="M584" s="1"/>
    </row>
    <row r="585" spans="11:13" ht="26.25" customHeight="1" x14ac:dyDescent="0.15">
      <c r="K585" s="1"/>
      <c r="L585" s="1"/>
      <c r="M585" s="1"/>
    </row>
    <row r="586" spans="11:13" ht="26.25" customHeight="1" x14ac:dyDescent="0.15">
      <c r="K586" s="1"/>
      <c r="L586" s="1"/>
      <c r="M586" s="1"/>
    </row>
    <row r="587" spans="11:13" ht="26.25" customHeight="1" x14ac:dyDescent="0.15">
      <c r="K587" s="1"/>
      <c r="L587" s="1"/>
      <c r="M587" s="1"/>
    </row>
    <row r="588" spans="11:13" ht="26.25" customHeight="1" x14ac:dyDescent="0.15">
      <c r="K588" s="1"/>
      <c r="L588" s="1"/>
      <c r="M588" s="1"/>
    </row>
    <row r="589" spans="11:13" ht="26.25" customHeight="1" x14ac:dyDescent="0.15">
      <c r="K589" s="1"/>
      <c r="L589" s="1"/>
      <c r="M589" s="1"/>
    </row>
    <row r="590" spans="11:13" ht="26.25" customHeight="1" x14ac:dyDescent="0.15">
      <c r="K590" s="1"/>
      <c r="L590" s="1"/>
      <c r="M590" s="1"/>
    </row>
    <row r="591" spans="11:13" ht="26.25" customHeight="1" x14ac:dyDescent="0.15">
      <c r="K591" s="1"/>
      <c r="L591" s="1"/>
      <c r="M591" s="1"/>
    </row>
    <row r="592" spans="11:13" ht="26.25" customHeight="1" x14ac:dyDescent="0.15">
      <c r="K592" s="1"/>
      <c r="L592" s="1"/>
      <c r="M592" s="1"/>
    </row>
    <row r="593" spans="11:13" ht="26.25" customHeight="1" x14ac:dyDescent="0.15">
      <c r="K593" s="1"/>
      <c r="L593" s="1"/>
      <c r="M593" s="1"/>
    </row>
    <row r="594" spans="11:13" ht="26.25" customHeight="1" x14ac:dyDescent="0.15">
      <c r="K594" s="1"/>
      <c r="L594" s="1"/>
      <c r="M594" s="1"/>
    </row>
    <row r="595" spans="11:13" ht="26.25" customHeight="1" x14ac:dyDescent="0.15">
      <c r="K595" s="1"/>
      <c r="L595" s="1"/>
      <c r="M595" s="1"/>
    </row>
    <row r="596" spans="11:13" ht="26.25" customHeight="1" x14ac:dyDescent="0.15">
      <c r="K596" s="1"/>
      <c r="L596" s="1"/>
      <c r="M596" s="1"/>
    </row>
    <row r="597" spans="11:13" ht="26.25" customHeight="1" x14ac:dyDescent="0.15">
      <c r="K597" s="1"/>
      <c r="L597" s="1"/>
      <c r="M597" s="1"/>
    </row>
    <row r="598" spans="11:13" ht="26.25" customHeight="1" x14ac:dyDescent="0.15">
      <c r="K598" s="1"/>
      <c r="L598" s="1"/>
      <c r="M598" s="1"/>
    </row>
    <row r="599" spans="11:13" ht="26.25" customHeight="1" x14ac:dyDescent="0.15">
      <c r="K599" s="1"/>
      <c r="L599" s="1"/>
      <c r="M599" s="1"/>
    </row>
    <row r="600" spans="11:13" ht="26.25" customHeight="1" x14ac:dyDescent="0.15">
      <c r="K600" s="1"/>
      <c r="L600" s="1"/>
      <c r="M600" s="1"/>
    </row>
    <row r="601" spans="11:13" ht="26.25" customHeight="1" x14ac:dyDescent="0.15">
      <c r="K601" s="1"/>
      <c r="L601" s="1"/>
      <c r="M601" s="1"/>
    </row>
    <row r="602" spans="11:13" ht="26.25" customHeight="1" x14ac:dyDescent="0.15">
      <c r="K602" s="1"/>
      <c r="L602" s="1"/>
      <c r="M602" s="1"/>
    </row>
    <row r="603" spans="11:13" ht="26.25" customHeight="1" x14ac:dyDescent="0.15">
      <c r="K603" s="1"/>
      <c r="L603" s="1"/>
      <c r="M603" s="1"/>
    </row>
    <row r="604" spans="11:13" ht="26.25" customHeight="1" x14ac:dyDescent="0.15">
      <c r="K604" s="1"/>
      <c r="L604" s="1"/>
      <c r="M604" s="1"/>
    </row>
    <row r="605" spans="11:13" ht="26.25" customHeight="1" x14ac:dyDescent="0.15">
      <c r="K605" s="1"/>
      <c r="L605" s="1"/>
      <c r="M605" s="1"/>
    </row>
    <row r="606" spans="11:13" ht="26.25" customHeight="1" x14ac:dyDescent="0.15">
      <c r="K606" s="1"/>
      <c r="L606" s="1"/>
      <c r="M606" s="1"/>
    </row>
    <row r="607" spans="11:13" ht="26.25" customHeight="1" x14ac:dyDescent="0.15">
      <c r="K607" s="1"/>
      <c r="L607" s="1"/>
      <c r="M607" s="1"/>
    </row>
    <row r="608" spans="11:13" ht="26.25" customHeight="1" x14ac:dyDescent="0.15">
      <c r="K608" s="1"/>
      <c r="L608" s="1"/>
      <c r="M608" s="1"/>
    </row>
    <row r="609" spans="11:13" ht="26.25" customHeight="1" x14ac:dyDescent="0.15">
      <c r="K609" s="1"/>
      <c r="L609" s="1"/>
      <c r="M609" s="1"/>
    </row>
    <row r="610" spans="11:13" ht="26.25" customHeight="1" x14ac:dyDescent="0.15">
      <c r="K610" s="1"/>
      <c r="L610" s="1"/>
      <c r="M610" s="1"/>
    </row>
    <row r="611" spans="11:13" ht="26.25" customHeight="1" x14ac:dyDescent="0.15">
      <c r="K611" s="1"/>
      <c r="L611" s="1"/>
      <c r="M611" s="1"/>
    </row>
    <row r="612" spans="11:13" ht="26.25" customHeight="1" x14ac:dyDescent="0.15">
      <c r="K612" s="1"/>
      <c r="L612" s="1"/>
      <c r="M612" s="1"/>
    </row>
    <row r="613" spans="11:13" ht="26.25" customHeight="1" x14ac:dyDescent="0.15">
      <c r="K613" s="1"/>
      <c r="L613" s="1"/>
      <c r="M613" s="1"/>
    </row>
    <row r="614" spans="11:13" ht="26.25" customHeight="1" x14ac:dyDescent="0.15">
      <c r="K614" s="1"/>
      <c r="L614" s="1"/>
      <c r="M614" s="1"/>
    </row>
    <row r="615" spans="11:13" ht="26.25" customHeight="1" x14ac:dyDescent="0.15">
      <c r="K615" s="1"/>
      <c r="L615" s="1"/>
      <c r="M615" s="1"/>
    </row>
    <row r="616" spans="11:13" ht="26.25" customHeight="1" x14ac:dyDescent="0.15">
      <c r="K616" s="1"/>
      <c r="L616" s="1"/>
      <c r="M616" s="1"/>
    </row>
    <row r="617" spans="11:13" ht="26.25" customHeight="1" x14ac:dyDescent="0.15">
      <c r="K617" s="1"/>
      <c r="L617" s="1"/>
      <c r="M617" s="1"/>
    </row>
    <row r="618" spans="11:13" ht="26.25" customHeight="1" x14ac:dyDescent="0.15">
      <c r="K618" s="1"/>
      <c r="L618" s="1"/>
      <c r="M618" s="1"/>
    </row>
    <row r="619" spans="11:13" ht="26.25" customHeight="1" x14ac:dyDescent="0.15">
      <c r="K619" s="1"/>
      <c r="L619" s="1"/>
      <c r="M619" s="1"/>
    </row>
    <row r="620" spans="11:13" ht="26.25" customHeight="1" x14ac:dyDescent="0.15">
      <c r="K620" s="1"/>
      <c r="L620" s="1"/>
      <c r="M620" s="1"/>
    </row>
    <row r="621" spans="11:13" ht="26.25" customHeight="1" x14ac:dyDescent="0.15">
      <c r="K621" s="1"/>
      <c r="L621" s="1"/>
      <c r="M621" s="1"/>
    </row>
    <row r="622" spans="11:13" ht="26.25" customHeight="1" x14ac:dyDescent="0.15">
      <c r="K622" s="1"/>
      <c r="L622" s="1"/>
      <c r="M622" s="1"/>
    </row>
    <row r="623" spans="11:13" ht="26.25" customHeight="1" x14ac:dyDescent="0.15">
      <c r="K623" s="1"/>
      <c r="L623" s="1"/>
      <c r="M623" s="1"/>
    </row>
    <row r="624" spans="11:13" ht="26.25" customHeight="1" x14ac:dyDescent="0.15">
      <c r="K624" s="1"/>
      <c r="L624" s="1"/>
      <c r="M624" s="1"/>
    </row>
    <row r="625" spans="11:13" ht="26.25" customHeight="1" x14ac:dyDescent="0.15">
      <c r="K625" s="1"/>
      <c r="L625" s="1"/>
      <c r="M625" s="1"/>
    </row>
    <row r="626" spans="11:13" ht="26.25" customHeight="1" x14ac:dyDescent="0.15">
      <c r="K626" s="1"/>
      <c r="L626" s="1"/>
      <c r="M626" s="1"/>
    </row>
    <row r="627" spans="11:13" ht="26.25" customHeight="1" x14ac:dyDescent="0.15">
      <c r="K627" s="1"/>
      <c r="L627" s="1"/>
      <c r="M627" s="1"/>
    </row>
    <row r="628" spans="11:13" ht="26.25" customHeight="1" x14ac:dyDescent="0.15">
      <c r="K628" s="1"/>
      <c r="L628" s="1"/>
      <c r="M628" s="1"/>
    </row>
    <row r="629" spans="11:13" ht="26.25" customHeight="1" x14ac:dyDescent="0.15">
      <c r="K629" s="1"/>
      <c r="L629" s="1"/>
      <c r="M629" s="1"/>
    </row>
    <row r="630" spans="11:13" ht="26.25" customHeight="1" x14ac:dyDescent="0.15">
      <c r="K630" s="1"/>
      <c r="L630" s="1"/>
      <c r="M630" s="1"/>
    </row>
    <row r="631" spans="11:13" ht="26.25" customHeight="1" x14ac:dyDescent="0.15">
      <c r="K631" s="1"/>
      <c r="L631" s="1"/>
      <c r="M631" s="1"/>
    </row>
    <row r="632" spans="11:13" ht="26.25" customHeight="1" x14ac:dyDescent="0.15">
      <c r="K632" s="1"/>
      <c r="L632" s="1"/>
      <c r="M632" s="1"/>
    </row>
    <row r="633" spans="11:13" ht="26.25" customHeight="1" x14ac:dyDescent="0.15">
      <c r="K633" s="1"/>
      <c r="L633" s="1"/>
      <c r="M633" s="1"/>
    </row>
    <row r="634" spans="11:13" ht="26.25" customHeight="1" x14ac:dyDescent="0.15">
      <c r="K634" s="1"/>
      <c r="L634" s="1"/>
      <c r="M634" s="1"/>
    </row>
    <row r="635" spans="11:13" ht="26.25" customHeight="1" x14ac:dyDescent="0.15">
      <c r="K635" s="1"/>
      <c r="L635" s="1"/>
      <c r="M635" s="1"/>
    </row>
    <row r="636" spans="11:13" ht="26.25" customHeight="1" x14ac:dyDescent="0.15">
      <c r="K636" s="1"/>
      <c r="L636" s="1"/>
      <c r="M636" s="1"/>
    </row>
    <row r="637" spans="11:13" ht="26.25" customHeight="1" x14ac:dyDescent="0.15">
      <c r="K637" s="1"/>
      <c r="L637" s="1"/>
      <c r="M637" s="1"/>
    </row>
    <row r="638" spans="11:13" ht="26.25" customHeight="1" x14ac:dyDescent="0.15">
      <c r="K638" s="1"/>
      <c r="L638" s="1"/>
      <c r="M638" s="1"/>
    </row>
    <row r="639" spans="11:13" ht="26.25" customHeight="1" x14ac:dyDescent="0.15">
      <c r="K639" s="1"/>
      <c r="L639" s="1"/>
      <c r="M639" s="1"/>
    </row>
    <row r="640" spans="11:13" ht="26.25" customHeight="1" x14ac:dyDescent="0.15">
      <c r="K640" s="1"/>
      <c r="L640" s="1"/>
      <c r="M640" s="1"/>
    </row>
    <row r="641" spans="11:13" ht="26.25" customHeight="1" x14ac:dyDescent="0.15">
      <c r="K641" s="1"/>
      <c r="L641" s="1"/>
      <c r="M641" s="1"/>
    </row>
    <row r="642" spans="11:13" ht="26.25" customHeight="1" x14ac:dyDescent="0.15">
      <c r="K642" s="1"/>
      <c r="L642" s="1"/>
      <c r="M642" s="1"/>
    </row>
    <row r="643" spans="11:13" ht="26.25" customHeight="1" x14ac:dyDescent="0.15">
      <c r="K643" s="1"/>
      <c r="L643" s="1"/>
      <c r="M643" s="1"/>
    </row>
    <row r="644" spans="11:13" ht="26.25" customHeight="1" x14ac:dyDescent="0.15">
      <c r="K644" s="1"/>
      <c r="L644" s="1"/>
      <c r="M644" s="1"/>
    </row>
    <row r="645" spans="11:13" ht="26.25" customHeight="1" x14ac:dyDescent="0.15">
      <c r="K645" s="1"/>
      <c r="L645" s="1"/>
      <c r="M645" s="1"/>
    </row>
    <row r="646" spans="11:13" ht="26.25" customHeight="1" x14ac:dyDescent="0.15">
      <c r="K646" s="1"/>
      <c r="L646" s="1"/>
      <c r="M646" s="1"/>
    </row>
    <row r="647" spans="11:13" ht="26.25" customHeight="1" x14ac:dyDescent="0.15">
      <c r="K647" s="1"/>
      <c r="L647" s="1"/>
      <c r="M647" s="1"/>
    </row>
    <row r="648" spans="11:13" ht="26.25" customHeight="1" x14ac:dyDescent="0.15">
      <c r="K648" s="1"/>
      <c r="L648" s="1"/>
      <c r="M648" s="1"/>
    </row>
    <row r="649" spans="11:13" ht="26.25" customHeight="1" x14ac:dyDescent="0.15">
      <c r="K649" s="1"/>
      <c r="L649" s="1"/>
      <c r="M649" s="1"/>
    </row>
    <row r="650" spans="11:13" ht="26.25" customHeight="1" x14ac:dyDescent="0.15">
      <c r="K650" s="1"/>
      <c r="L650" s="1"/>
      <c r="M650" s="1"/>
    </row>
    <row r="651" spans="11:13" ht="26.25" customHeight="1" x14ac:dyDescent="0.15">
      <c r="K651" s="1"/>
      <c r="L651" s="1"/>
      <c r="M651" s="1"/>
    </row>
    <row r="652" spans="11:13" ht="26.25" customHeight="1" x14ac:dyDescent="0.15">
      <c r="K652" s="1"/>
      <c r="L652" s="1"/>
      <c r="M652" s="1"/>
    </row>
    <row r="653" spans="11:13" ht="26.25" customHeight="1" x14ac:dyDescent="0.15">
      <c r="K653" s="1"/>
      <c r="L653" s="1"/>
      <c r="M653" s="1"/>
    </row>
    <row r="654" spans="11:13" ht="26.25" customHeight="1" x14ac:dyDescent="0.15">
      <c r="K654" s="1"/>
      <c r="L654" s="1"/>
      <c r="M654" s="1"/>
    </row>
    <row r="655" spans="11:13" ht="26.25" customHeight="1" x14ac:dyDescent="0.15">
      <c r="K655" s="1"/>
      <c r="L655" s="1"/>
      <c r="M655" s="1"/>
    </row>
    <row r="656" spans="11:13" ht="26.25" customHeight="1" x14ac:dyDescent="0.15">
      <c r="K656" s="1"/>
      <c r="L656" s="1"/>
      <c r="M656" s="1"/>
    </row>
    <row r="657" spans="11:13" ht="26.25" customHeight="1" x14ac:dyDescent="0.15">
      <c r="K657" s="1"/>
      <c r="L657" s="1"/>
      <c r="M657" s="1"/>
    </row>
    <row r="658" spans="11:13" ht="26.25" customHeight="1" x14ac:dyDescent="0.15">
      <c r="K658" s="1"/>
      <c r="L658" s="1"/>
      <c r="M658" s="1"/>
    </row>
    <row r="659" spans="11:13" ht="26.25" customHeight="1" x14ac:dyDescent="0.15">
      <c r="K659" s="1"/>
      <c r="L659" s="1"/>
      <c r="M659" s="1"/>
    </row>
    <row r="660" spans="11:13" ht="26.25" customHeight="1" x14ac:dyDescent="0.15">
      <c r="K660" s="1"/>
      <c r="L660" s="1"/>
      <c r="M660" s="1"/>
    </row>
    <row r="661" spans="11:13" ht="26.25" customHeight="1" x14ac:dyDescent="0.15">
      <c r="K661" s="1"/>
      <c r="L661" s="1"/>
      <c r="M661" s="1"/>
    </row>
    <row r="662" spans="11:13" ht="26.25" customHeight="1" x14ac:dyDescent="0.15">
      <c r="K662" s="1"/>
      <c r="L662" s="1"/>
      <c r="M662" s="1"/>
    </row>
    <row r="663" spans="11:13" ht="26.25" customHeight="1" x14ac:dyDescent="0.15">
      <c r="K663" s="1"/>
      <c r="L663" s="1"/>
      <c r="M663" s="1"/>
    </row>
    <row r="664" spans="11:13" ht="26.25" customHeight="1" x14ac:dyDescent="0.15">
      <c r="K664" s="1"/>
      <c r="L664" s="1"/>
      <c r="M664" s="1"/>
    </row>
    <row r="665" spans="11:13" ht="26.25" customHeight="1" x14ac:dyDescent="0.15">
      <c r="K665" s="1"/>
      <c r="L665" s="1"/>
      <c r="M665" s="1"/>
    </row>
    <row r="666" spans="11:13" ht="26.25" customHeight="1" x14ac:dyDescent="0.15">
      <c r="K666" s="1"/>
      <c r="L666" s="1"/>
      <c r="M666" s="1"/>
    </row>
    <row r="667" spans="11:13" ht="26.25" customHeight="1" x14ac:dyDescent="0.15">
      <c r="K667" s="1"/>
      <c r="L667" s="1"/>
      <c r="M667" s="1"/>
    </row>
    <row r="668" spans="11:13" ht="26.25" customHeight="1" x14ac:dyDescent="0.15">
      <c r="K668" s="1"/>
      <c r="L668" s="1"/>
      <c r="M668" s="1"/>
    </row>
    <row r="669" spans="11:13" ht="26.25" customHeight="1" x14ac:dyDescent="0.15">
      <c r="K669" s="1"/>
      <c r="L669" s="1"/>
      <c r="M669" s="1"/>
    </row>
    <row r="670" spans="11:13" ht="26.25" customHeight="1" x14ac:dyDescent="0.15">
      <c r="K670" s="1"/>
      <c r="L670" s="1"/>
      <c r="M670" s="1"/>
    </row>
    <row r="671" spans="11:13" ht="26.25" customHeight="1" x14ac:dyDescent="0.15">
      <c r="K671" s="1"/>
      <c r="L671" s="1"/>
      <c r="M671" s="1"/>
    </row>
    <row r="672" spans="11:13" ht="26.25" customHeight="1" x14ac:dyDescent="0.15">
      <c r="K672" s="1"/>
      <c r="L672" s="1"/>
      <c r="M672" s="1"/>
    </row>
    <row r="673" spans="11:13" ht="26.25" customHeight="1" x14ac:dyDescent="0.15">
      <c r="K673" s="1"/>
      <c r="L673" s="1"/>
      <c r="M673" s="1"/>
    </row>
    <row r="674" spans="11:13" ht="26.25" customHeight="1" x14ac:dyDescent="0.15">
      <c r="K674" s="1"/>
      <c r="L674" s="1"/>
      <c r="M674" s="1"/>
    </row>
    <row r="675" spans="11:13" ht="26.25" customHeight="1" x14ac:dyDescent="0.15">
      <c r="K675" s="1"/>
      <c r="L675" s="1"/>
      <c r="M675" s="1"/>
    </row>
    <row r="676" spans="11:13" ht="26.25" customHeight="1" x14ac:dyDescent="0.15">
      <c r="K676" s="1"/>
      <c r="L676" s="1"/>
      <c r="M676" s="1"/>
    </row>
    <row r="677" spans="11:13" ht="26.25" customHeight="1" x14ac:dyDescent="0.15">
      <c r="K677" s="1"/>
      <c r="L677" s="1"/>
      <c r="M677" s="1"/>
    </row>
    <row r="678" spans="11:13" ht="26.25" customHeight="1" x14ac:dyDescent="0.15">
      <c r="K678" s="1"/>
      <c r="L678" s="1"/>
      <c r="M678" s="1"/>
    </row>
    <row r="679" spans="11:13" ht="26.25" customHeight="1" x14ac:dyDescent="0.15">
      <c r="K679" s="1"/>
      <c r="L679" s="1"/>
      <c r="M679" s="1"/>
    </row>
    <row r="680" spans="11:13" ht="26.25" customHeight="1" x14ac:dyDescent="0.15">
      <c r="K680" s="1"/>
      <c r="L680" s="1"/>
      <c r="M680" s="1"/>
    </row>
    <row r="681" spans="11:13" ht="26.25" customHeight="1" x14ac:dyDescent="0.15">
      <c r="K681" s="1"/>
      <c r="L681" s="1"/>
      <c r="M681" s="1"/>
    </row>
    <row r="682" spans="11:13" ht="26.25" customHeight="1" x14ac:dyDescent="0.15">
      <c r="K682" s="1"/>
      <c r="L682" s="1"/>
      <c r="M682" s="1"/>
    </row>
    <row r="683" spans="11:13" ht="26.25" customHeight="1" x14ac:dyDescent="0.15">
      <c r="K683" s="1"/>
      <c r="L683" s="1"/>
      <c r="M683" s="1"/>
    </row>
    <row r="684" spans="11:13" ht="26.25" customHeight="1" x14ac:dyDescent="0.15">
      <c r="K684" s="1"/>
      <c r="L684" s="1"/>
      <c r="M684" s="1"/>
    </row>
    <row r="685" spans="11:13" ht="26.25" customHeight="1" x14ac:dyDescent="0.15">
      <c r="K685" s="1"/>
      <c r="L685" s="1"/>
      <c r="M685" s="1"/>
    </row>
    <row r="686" spans="11:13" ht="26.25" customHeight="1" x14ac:dyDescent="0.15">
      <c r="K686" s="1"/>
      <c r="L686" s="1"/>
      <c r="M686" s="1"/>
    </row>
    <row r="687" spans="11:13" ht="26.25" customHeight="1" x14ac:dyDescent="0.15">
      <c r="K687" s="1"/>
      <c r="L687" s="1"/>
      <c r="M687" s="1"/>
    </row>
    <row r="688" spans="11:13" ht="26.25" customHeight="1" x14ac:dyDescent="0.15">
      <c r="K688" s="1"/>
      <c r="L688" s="1"/>
      <c r="M688" s="1"/>
    </row>
    <row r="689" spans="11:13" ht="26.25" customHeight="1" x14ac:dyDescent="0.15">
      <c r="K689" s="1"/>
      <c r="L689" s="1"/>
      <c r="M689" s="1"/>
    </row>
    <row r="690" spans="11:13" ht="26.25" customHeight="1" x14ac:dyDescent="0.15">
      <c r="K690" s="1"/>
      <c r="L690" s="1"/>
      <c r="M690" s="1"/>
    </row>
    <row r="691" spans="11:13" ht="26.25" customHeight="1" x14ac:dyDescent="0.15">
      <c r="K691" s="1"/>
      <c r="L691" s="1"/>
      <c r="M691" s="1"/>
    </row>
    <row r="692" spans="11:13" ht="26.25" customHeight="1" x14ac:dyDescent="0.15">
      <c r="K692" s="1"/>
      <c r="L692" s="1"/>
      <c r="M692" s="1"/>
    </row>
    <row r="693" spans="11:13" ht="26.25" customHeight="1" x14ac:dyDescent="0.15">
      <c r="K693" s="1"/>
      <c r="L693" s="1"/>
      <c r="M693" s="1"/>
    </row>
    <row r="694" spans="11:13" ht="26.25" customHeight="1" x14ac:dyDescent="0.15">
      <c r="K694" s="1"/>
      <c r="L694" s="1"/>
      <c r="M694" s="1"/>
    </row>
    <row r="695" spans="11:13" ht="26.25" customHeight="1" x14ac:dyDescent="0.15">
      <c r="K695" s="1"/>
      <c r="L695" s="1"/>
      <c r="M695" s="1"/>
    </row>
    <row r="696" spans="11:13" ht="26.25" customHeight="1" x14ac:dyDescent="0.15">
      <c r="K696" s="1"/>
      <c r="L696" s="1"/>
      <c r="M696" s="1"/>
    </row>
    <row r="697" spans="11:13" ht="26.25" customHeight="1" x14ac:dyDescent="0.15">
      <c r="K697" s="1"/>
      <c r="L697" s="1"/>
      <c r="M697" s="1"/>
    </row>
    <row r="698" spans="11:13" ht="26.25" customHeight="1" x14ac:dyDescent="0.15">
      <c r="K698" s="1"/>
      <c r="L698" s="1"/>
      <c r="M698" s="1"/>
    </row>
    <row r="699" spans="11:13" ht="26.25" customHeight="1" x14ac:dyDescent="0.15">
      <c r="K699" s="1"/>
      <c r="L699" s="1"/>
      <c r="M699" s="1"/>
    </row>
    <row r="700" spans="11:13" ht="26.25" customHeight="1" x14ac:dyDescent="0.15">
      <c r="K700" s="1"/>
      <c r="L700" s="1"/>
      <c r="M700" s="1"/>
    </row>
    <row r="701" spans="11:13" ht="26.25" customHeight="1" x14ac:dyDescent="0.15">
      <c r="K701" s="1"/>
      <c r="L701" s="1"/>
      <c r="M701" s="1"/>
    </row>
    <row r="702" spans="11:13" ht="26.25" customHeight="1" x14ac:dyDescent="0.15">
      <c r="K702" s="1"/>
      <c r="L702" s="1"/>
      <c r="M702" s="1"/>
    </row>
    <row r="703" spans="11:13" ht="26.25" customHeight="1" x14ac:dyDescent="0.15">
      <c r="K703" s="1"/>
      <c r="L703" s="1"/>
      <c r="M703" s="1"/>
    </row>
    <row r="704" spans="11:13" ht="26.25" customHeight="1" x14ac:dyDescent="0.15">
      <c r="K704" s="1"/>
      <c r="L704" s="1"/>
      <c r="M704" s="1"/>
    </row>
    <row r="705" spans="11:13" ht="26.25" customHeight="1" x14ac:dyDescent="0.15">
      <c r="K705" s="1"/>
      <c r="L705" s="1"/>
      <c r="M705" s="1"/>
    </row>
    <row r="706" spans="11:13" ht="26.25" customHeight="1" x14ac:dyDescent="0.15">
      <c r="K706" s="1"/>
      <c r="L706" s="1"/>
      <c r="M706" s="1"/>
    </row>
    <row r="707" spans="11:13" ht="26.25" customHeight="1" x14ac:dyDescent="0.15">
      <c r="K707" s="1"/>
      <c r="L707" s="1"/>
      <c r="M707" s="1"/>
    </row>
    <row r="708" spans="11:13" ht="26.25" customHeight="1" x14ac:dyDescent="0.15">
      <c r="K708" s="1"/>
      <c r="L708" s="1"/>
      <c r="M708" s="1"/>
    </row>
    <row r="709" spans="11:13" ht="26.25" customHeight="1" x14ac:dyDescent="0.15">
      <c r="K709" s="1"/>
      <c r="L709" s="1"/>
      <c r="M709" s="1"/>
    </row>
    <row r="710" spans="11:13" ht="26.25" customHeight="1" x14ac:dyDescent="0.15">
      <c r="K710" s="1"/>
      <c r="L710" s="1"/>
      <c r="M710" s="1"/>
    </row>
    <row r="711" spans="11:13" ht="26.25" customHeight="1" x14ac:dyDescent="0.15">
      <c r="K711" s="1"/>
      <c r="L711" s="1"/>
      <c r="M711" s="1"/>
    </row>
    <row r="712" spans="11:13" ht="26.25" customHeight="1" x14ac:dyDescent="0.15">
      <c r="K712" s="1"/>
      <c r="L712" s="1"/>
      <c r="M712" s="1"/>
    </row>
    <row r="713" spans="11:13" ht="26.25" customHeight="1" x14ac:dyDescent="0.15">
      <c r="K713" s="1"/>
      <c r="L713" s="1"/>
      <c r="M713" s="1"/>
    </row>
    <row r="714" spans="11:13" ht="26.25" customHeight="1" x14ac:dyDescent="0.15">
      <c r="K714" s="1"/>
      <c r="L714" s="1"/>
      <c r="M714" s="1"/>
    </row>
    <row r="715" spans="11:13" ht="26.25" customHeight="1" x14ac:dyDescent="0.15">
      <c r="K715" s="1"/>
      <c r="L715" s="1"/>
      <c r="M715" s="1"/>
    </row>
    <row r="716" spans="11:13" ht="26.25" customHeight="1" x14ac:dyDescent="0.15">
      <c r="K716" s="1"/>
      <c r="L716" s="1"/>
      <c r="M716" s="1"/>
    </row>
    <row r="717" spans="11:13" ht="26.25" customHeight="1" x14ac:dyDescent="0.15">
      <c r="K717" s="1"/>
      <c r="L717" s="1"/>
      <c r="M717" s="1"/>
    </row>
    <row r="718" spans="11:13" ht="26.25" customHeight="1" x14ac:dyDescent="0.15">
      <c r="K718" s="1"/>
      <c r="L718" s="1"/>
      <c r="M718" s="1"/>
    </row>
    <row r="719" spans="11:13" ht="26.25" customHeight="1" x14ac:dyDescent="0.15">
      <c r="K719" s="1"/>
      <c r="L719" s="1"/>
      <c r="M719" s="1"/>
    </row>
    <row r="720" spans="11:13" ht="26.25" customHeight="1" x14ac:dyDescent="0.15">
      <c r="K720" s="1"/>
      <c r="L720" s="1"/>
      <c r="M720" s="1"/>
    </row>
    <row r="721" spans="11:13" ht="26.25" customHeight="1" x14ac:dyDescent="0.15">
      <c r="K721" s="1"/>
      <c r="L721" s="1"/>
      <c r="M721" s="1"/>
    </row>
    <row r="722" spans="11:13" ht="26.25" customHeight="1" x14ac:dyDescent="0.15">
      <c r="K722" s="1"/>
      <c r="L722" s="1"/>
      <c r="M722" s="1"/>
    </row>
    <row r="723" spans="11:13" ht="26.25" customHeight="1" x14ac:dyDescent="0.15">
      <c r="K723" s="1"/>
      <c r="L723" s="1"/>
      <c r="M723" s="1"/>
    </row>
    <row r="724" spans="11:13" ht="26.25" customHeight="1" x14ac:dyDescent="0.15">
      <c r="K724" s="1"/>
      <c r="L724" s="1"/>
      <c r="M724" s="1"/>
    </row>
    <row r="725" spans="11:13" ht="26.25" customHeight="1" x14ac:dyDescent="0.15">
      <c r="K725" s="1"/>
      <c r="L725" s="1"/>
      <c r="M725" s="1"/>
    </row>
    <row r="726" spans="11:13" ht="26.25" customHeight="1" x14ac:dyDescent="0.15">
      <c r="K726" s="1"/>
      <c r="L726" s="1"/>
      <c r="M726" s="1"/>
    </row>
    <row r="727" spans="11:13" ht="26.25" customHeight="1" x14ac:dyDescent="0.15">
      <c r="K727" s="1"/>
      <c r="L727" s="1"/>
      <c r="M727" s="1"/>
    </row>
    <row r="728" spans="11:13" ht="26.25" customHeight="1" x14ac:dyDescent="0.15">
      <c r="K728" s="1"/>
      <c r="L728" s="1"/>
      <c r="M728" s="1"/>
    </row>
    <row r="729" spans="11:13" ht="26.25" customHeight="1" x14ac:dyDescent="0.15">
      <c r="K729" s="1"/>
      <c r="L729" s="1"/>
      <c r="M729" s="1"/>
    </row>
    <row r="730" spans="11:13" ht="26.25" customHeight="1" x14ac:dyDescent="0.15">
      <c r="K730" s="1"/>
      <c r="L730" s="1"/>
      <c r="M730" s="1"/>
    </row>
    <row r="731" spans="11:13" ht="26.25" customHeight="1" x14ac:dyDescent="0.15">
      <c r="K731" s="1"/>
      <c r="L731" s="1"/>
      <c r="M731" s="1"/>
    </row>
    <row r="732" spans="11:13" ht="26.25" customHeight="1" x14ac:dyDescent="0.15">
      <c r="K732" s="1"/>
      <c r="L732" s="1"/>
      <c r="M732" s="1"/>
    </row>
    <row r="733" spans="11:13" ht="26.25" customHeight="1" x14ac:dyDescent="0.15">
      <c r="K733" s="1"/>
      <c r="L733" s="1"/>
      <c r="M733" s="1"/>
    </row>
    <row r="734" spans="11:13" ht="26.25" customHeight="1" x14ac:dyDescent="0.15">
      <c r="K734" s="1"/>
      <c r="L734" s="1"/>
      <c r="M734" s="1"/>
    </row>
    <row r="735" spans="11:13" ht="26.25" customHeight="1" x14ac:dyDescent="0.15">
      <c r="K735" s="1"/>
      <c r="L735" s="1"/>
      <c r="M735" s="1"/>
    </row>
    <row r="736" spans="11:13" ht="26.25" customHeight="1" x14ac:dyDescent="0.15">
      <c r="K736" s="1"/>
      <c r="L736" s="1"/>
      <c r="M736" s="1"/>
    </row>
    <row r="737" spans="11:13" ht="26.25" customHeight="1" x14ac:dyDescent="0.15">
      <c r="K737" s="1"/>
      <c r="L737" s="1"/>
      <c r="M737" s="1"/>
    </row>
    <row r="738" spans="11:13" ht="26.25" customHeight="1" x14ac:dyDescent="0.15">
      <c r="K738" s="1"/>
      <c r="L738" s="1"/>
      <c r="M738" s="1"/>
    </row>
    <row r="739" spans="11:13" ht="26.25" customHeight="1" x14ac:dyDescent="0.15">
      <c r="K739" s="1"/>
      <c r="L739" s="1"/>
      <c r="M739" s="1"/>
    </row>
    <row r="740" spans="11:13" ht="26.25" customHeight="1" x14ac:dyDescent="0.15">
      <c r="K740" s="1"/>
      <c r="L740" s="1"/>
      <c r="M740" s="1"/>
    </row>
    <row r="741" spans="11:13" ht="26.25" customHeight="1" x14ac:dyDescent="0.15">
      <c r="K741" s="1"/>
      <c r="L741" s="1"/>
      <c r="M741" s="1"/>
    </row>
    <row r="742" spans="11:13" ht="26.25" customHeight="1" x14ac:dyDescent="0.15">
      <c r="K742" s="1"/>
      <c r="L742" s="1"/>
      <c r="M742" s="1"/>
    </row>
    <row r="743" spans="11:13" ht="26.25" customHeight="1" x14ac:dyDescent="0.15">
      <c r="K743" s="1"/>
      <c r="L743" s="1"/>
      <c r="M743" s="1"/>
    </row>
    <row r="744" spans="11:13" ht="26.25" customHeight="1" x14ac:dyDescent="0.15">
      <c r="K744" s="1"/>
      <c r="L744" s="1"/>
      <c r="M744" s="1"/>
    </row>
    <row r="745" spans="11:13" ht="26.25" customHeight="1" x14ac:dyDescent="0.15">
      <c r="K745" s="1"/>
      <c r="L745" s="1"/>
      <c r="M745" s="1"/>
    </row>
    <row r="746" spans="11:13" ht="26.25" customHeight="1" x14ac:dyDescent="0.15">
      <c r="K746" s="1"/>
      <c r="L746" s="1"/>
      <c r="M746" s="1"/>
    </row>
    <row r="747" spans="11:13" ht="26.25" customHeight="1" x14ac:dyDescent="0.15">
      <c r="K747" s="1"/>
      <c r="L747" s="1"/>
      <c r="M747" s="1"/>
    </row>
    <row r="748" spans="11:13" ht="26.25" customHeight="1" x14ac:dyDescent="0.15">
      <c r="K748" s="1"/>
      <c r="L748" s="1"/>
      <c r="M748" s="1"/>
    </row>
    <row r="749" spans="11:13" ht="26.25" customHeight="1" x14ac:dyDescent="0.15">
      <c r="K749" s="1"/>
      <c r="L749" s="1"/>
      <c r="M749" s="1"/>
    </row>
    <row r="750" spans="11:13" ht="26.25" customHeight="1" x14ac:dyDescent="0.15">
      <c r="K750" s="1"/>
      <c r="L750" s="1"/>
      <c r="M750" s="1"/>
    </row>
    <row r="751" spans="11:13" ht="26.25" customHeight="1" x14ac:dyDescent="0.15">
      <c r="K751" s="1"/>
      <c r="L751" s="1"/>
      <c r="M751" s="1"/>
    </row>
    <row r="752" spans="11:13" ht="26.25" customHeight="1" x14ac:dyDescent="0.15">
      <c r="K752" s="1"/>
      <c r="L752" s="1"/>
      <c r="M752" s="1"/>
    </row>
    <row r="753" spans="11:13" ht="26.25" customHeight="1" x14ac:dyDescent="0.15">
      <c r="K753" s="1"/>
      <c r="L753" s="1"/>
      <c r="M753" s="1"/>
    </row>
    <row r="754" spans="11:13" ht="26.25" customHeight="1" x14ac:dyDescent="0.15">
      <c r="K754" s="1"/>
      <c r="L754" s="1"/>
      <c r="M754" s="1"/>
    </row>
    <row r="755" spans="11:13" ht="26.25" customHeight="1" x14ac:dyDescent="0.15">
      <c r="K755" s="1"/>
      <c r="L755" s="1"/>
      <c r="M755" s="1"/>
    </row>
    <row r="756" spans="11:13" ht="26.25" customHeight="1" x14ac:dyDescent="0.15">
      <c r="K756" s="1"/>
      <c r="L756" s="1"/>
      <c r="M756" s="1"/>
    </row>
    <row r="757" spans="11:13" ht="26.25" customHeight="1" x14ac:dyDescent="0.15">
      <c r="K757" s="1"/>
      <c r="L757" s="1"/>
      <c r="M757" s="1"/>
    </row>
    <row r="758" spans="11:13" ht="26.25" customHeight="1" x14ac:dyDescent="0.15">
      <c r="K758" s="1"/>
      <c r="L758" s="1"/>
      <c r="M758" s="1"/>
    </row>
    <row r="759" spans="11:13" ht="26.25" customHeight="1" x14ac:dyDescent="0.15">
      <c r="K759" s="1"/>
      <c r="L759" s="1"/>
      <c r="M759" s="1"/>
    </row>
    <row r="760" spans="11:13" ht="26.25" customHeight="1" x14ac:dyDescent="0.15">
      <c r="K760" s="1"/>
      <c r="L760" s="1"/>
      <c r="M760" s="1"/>
    </row>
    <row r="761" spans="11:13" ht="26.25" customHeight="1" x14ac:dyDescent="0.15">
      <c r="K761" s="1"/>
      <c r="L761" s="1"/>
      <c r="M761" s="1"/>
    </row>
    <row r="762" spans="11:13" ht="26.25" customHeight="1" x14ac:dyDescent="0.15">
      <c r="K762" s="1"/>
      <c r="L762" s="1"/>
      <c r="M762" s="1"/>
    </row>
    <row r="763" spans="11:13" ht="26.25" customHeight="1" x14ac:dyDescent="0.15">
      <c r="K763" s="1"/>
      <c r="L763" s="1"/>
      <c r="M763" s="1"/>
    </row>
    <row r="764" spans="11:13" ht="26.25" customHeight="1" x14ac:dyDescent="0.15">
      <c r="K764" s="1"/>
      <c r="L764" s="1"/>
      <c r="M764" s="1"/>
    </row>
    <row r="765" spans="11:13" ht="26.25" customHeight="1" x14ac:dyDescent="0.15">
      <c r="K765" s="1"/>
      <c r="L765" s="1"/>
      <c r="M765" s="1"/>
    </row>
    <row r="766" spans="11:13" ht="26.25" customHeight="1" x14ac:dyDescent="0.15">
      <c r="K766" s="1"/>
      <c r="L766" s="1"/>
      <c r="M766" s="1"/>
    </row>
    <row r="767" spans="11:13" ht="26.25" customHeight="1" x14ac:dyDescent="0.15">
      <c r="K767" s="1"/>
      <c r="L767" s="1"/>
      <c r="M767" s="1"/>
    </row>
    <row r="768" spans="11:13" ht="26.25" customHeight="1" x14ac:dyDescent="0.15">
      <c r="K768" s="1"/>
      <c r="L768" s="1"/>
      <c r="M768" s="1"/>
    </row>
    <row r="769" spans="11:13" ht="26.25" customHeight="1" x14ac:dyDescent="0.15">
      <c r="K769" s="1"/>
      <c r="L769" s="1"/>
      <c r="M769" s="1"/>
    </row>
    <row r="770" spans="11:13" ht="26.25" customHeight="1" x14ac:dyDescent="0.15">
      <c r="K770" s="1"/>
      <c r="L770" s="1"/>
      <c r="M770" s="1"/>
    </row>
    <row r="771" spans="11:13" ht="26.25" customHeight="1" x14ac:dyDescent="0.15">
      <c r="K771" s="1"/>
      <c r="L771" s="1"/>
      <c r="M771" s="1"/>
    </row>
    <row r="772" spans="11:13" ht="26.25" customHeight="1" x14ac:dyDescent="0.15">
      <c r="K772" s="1"/>
      <c r="L772" s="1"/>
      <c r="M772" s="1"/>
    </row>
    <row r="773" spans="11:13" ht="26.25" customHeight="1" x14ac:dyDescent="0.15">
      <c r="K773" s="1"/>
      <c r="L773" s="1"/>
      <c r="M773" s="1"/>
    </row>
    <row r="774" spans="11:13" ht="26.25" customHeight="1" x14ac:dyDescent="0.15">
      <c r="K774" s="1"/>
      <c r="L774" s="1"/>
      <c r="M774" s="1"/>
    </row>
    <row r="775" spans="11:13" ht="26.25" customHeight="1" x14ac:dyDescent="0.15">
      <c r="K775" s="1"/>
      <c r="L775" s="1"/>
      <c r="M775" s="1"/>
    </row>
    <row r="776" spans="11:13" ht="26.25" customHeight="1" x14ac:dyDescent="0.15">
      <c r="K776" s="1"/>
      <c r="L776" s="1"/>
      <c r="M776" s="1"/>
    </row>
    <row r="777" spans="11:13" ht="26.25" customHeight="1" x14ac:dyDescent="0.15">
      <c r="K777" s="1"/>
      <c r="L777" s="1"/>
      <c r="M777" s="1"/>
    </row>
    <row r="778" spans="11:13" ht="26.25" customHeight="1" x14ac:dyDescent="0.15">
      <c r="K778" s="1"/>
      <c r="L778" s="1"/>
      <c r="M778" s="1"/>
    </row>
    <row r="779" spans="11:13" ht="26.25" customHeight="1" x14ac:dyDescent="0.15">
      <c r="K779" s="1"/>
      <c r="L779" s="1"/>
      <c r="M779" s="1"/>
    </row>
    <row r="780" spans="11:13" ht="26.25" customHeight="1" x14ac:dyDescent="0.15">
      <c r="K780" s="1"/>
      <c r="L780" s="1"/>
      <c r="M780" s="1"/>
    </row>
    <row r="781" spans="11:13" ht="26.25" customHeight="1" x14ac:dyDescent="0.15">
      <c r="K781" s="1"/>
      <c r="L781" s="1"/>
      <c r="M781" s="1"/>
    </row>
    <row r="782" spans="11:13" ht="26.25" customHeight="1" x14ac:dyDescent="0.15">
      <c r="K782" s="1"/>
      <c r="L782" s="1"/>
      <c r="M782" s="1"/>
    </row>
    <row r="783" spans="11:13" ht="26.25" customHeight="1" x14ac:dyDescent="0.15">
      <c r="K783" s="1"/>
      <c r="L783" s="1"/>
      <c r="M783" s="1"/>
    </row>
    <row r="784" spans="11:13" ht="26.25" customHeight="1" x14ac:dyDescent="0.15">
      <c r="K784" s="1"/>
      <c r="L784" s="1"/>
      <c r="M784" s="1"/>
    </row>
    <row r="785" spans="11:13" ht="26.25" customHeight="1" x14ac:dyDescent="0.15">
      <c r="K785" s="1"/>
      <c r="L785" s="1"/>
      <c r="M785" s="1"/>
    </row>
    <row r="786" spans="11:13" ht="26.25" customHeight="1" x14ac:dyDescent="0.15">
      <c r="K786" s="1"/>
      <c r="L786" s="1"/>
      <c r="M786" s="1"/>
    </row>
    <row r="787" spans="11:13" ht="26.25" customHeight="1" x14ac:dyDescent="0.15">
      <c r="K787" s="1"/>
      <c r="L787" s="1"/>
      <c r="M787" s="1"/>
    </row>
    <row r="788" spans="11:13" ht="26.25" customHeight="1" x14ac:dyDescent="0.15">
      <c r="K788" s="1"/>
      <c r="L788" s="1"/>
      <c r="M788" s="1"/>
    </row>
    <row r="789" spans="11:13" ht="26.25" customHeight="1" x14ac:dyDescent="0.15">
      <c r="K789" s="1"/>
      <c r="L789" s="1"/>
      <c r="M789" s="1"/>
    </row>
    <row r="790" spans="11:13" ht="26.25" customHeight="1" x14ac:dyDescent="0.15">
      <c r="K790" s="1"/>
      <c r="L790" s="1"/>
      <c r="M790" s="1"/>
    </row>
    <row r="791" spans="11:13" ht="26.25" customHeight="1" x14ac:dyDescent="0.15">
      <c r="K791" s="1"/>
      <c r="L791" s="1"/>
      <c r="M791" s="1"/>
    </row>
    <row r="792" spans="11:13" ht="26.25" customHeight="1" x14ac:dyDescent="0.15">
      <c r="K792" s="1"/>
      <c r="L792" s="1"/>
      <c r="M792" s="1"/>
    </row>
    <row r="793" spans="11:13" ht="26.25" customHeight="1" x14ac:dyDescent="0.15">
      <c r="K793" s="1"/>
      <c r="L793" s="1"/>
      <c r="M793" s="1"/>
    </row>
    <row r="794" spans="11:13" ht="26.25" customHeight="1" x14ac:dyDescent="0.15">
      <c r="K794" s="1"/>
      <c r="L794" s="1"/>
      <c r="M794" s="1"/>
    </row>
    <row r="795" spans="11:13" ht="26.25" customHeight="1" x14ac:dyDescent="0.15">
      <c r="K795" s="1"/>
      <c r="L795" s="1"/>
      <c r="M795" s="1"/>
    </row>
    <row r="796" spans="11:13" ht="26.25" customHeight="1" x14ac:dyDescent="0.15">
      <c r="K796" s="1"/>
      <c r="L796" s="1"/>
      <c r="M796" s="1"/>
    </row>
    <row r="797" spans="11:13" ht="26.25" customHeight="1" x14ac:dyDescent="0.15">
      <c r="K797" s="1"/>
      <c r="L797" s="1"/>
      <c r="M797" s="1"/>
    </row>
    <row r="798" spans="11:13" ht="26.25" customHeight="1" x14ac:dyDescent="0.15">
      <c r="K798" s="1"/>
      <c r="L798" s="1"/>
      <c r="M798" s="1"/>
    </row>
    <row r="799" spans="11:13" ht="26.25" customHeight="1" x14ac:dyDescent="0.15">
      <c r="K799" s="1"/>
      <c r="L799" s="1"/>
      <c r="M799" s="1"/>
    </row>
    <row r="800" spans="11:13" ht="26.25" customHeight="1" x14ac:dyDescent="0.15">
      <c r="K800" s="1"/>
      <c r="L800" s="1"/>
      <c r="M800" s="1"/>
    </row>
    <row r="801" spans="11:13" ht="26.25" customHeight="1" x14ac:dyDescent="0.15">
      <c r="K801" s="1"/>
      <c r="L801" s="1"/>
      <c r="M801" s="1"/>
    </row>
    <row r="802" spans="11:13" ht="26.25" customHeight="1" x14ac:dyDescent="0.15">
      <c r="K802" s="1"/>
      <c r="L802" s="1"/>
      <c r="M802" s="1"/>
    </row>
    <row r="803" spans="11:13" ht="26.25" customHeight="1" x14ac:dyDescent="0.15">
      <c r="K803" s="1"/>
      <c r="L803" s="1"/>
      <c r="M803" s="1"/>
    </row>
    <row r="804" spans="11:13" ht="26.25" customHeight="1" x14ac:dyDescent="0.15">
      <c r="K804" s="1"/>
      <c r="L804" s="1"/>
      <c r="M804" s="1"/>
    </row>
    <row r="805" spans="11:13" ht="26.25" customHeight="1" x14ac:dyDescent="0.15">
      <c r="K805" s="1"/>
      <c r="L805" s="1"/>
      <c r="M805" s="1"/>
    </row>
    <row r="806" spans="11:13" ht="26.25" customHeight="1" x14ac:dyDescent="0.15">
      <c r="K806" s="1"/>
      <c r="L806" s="1"/>
      <c r="M806" s="1"/>
    </row>
    <row r="807" spans="11:13" ht="26.25" customHeight="1" x14ac:dyDescent="0.15">
      <c r="K807" s="1"/>
      <c r="L807" s="1"/>
      <c r="M807" s="1"/>
    </row>
    <row r="808" spans="11:13" ht="26.25" customHeight="1" x14ac:dyDescent="0.15">
      <c r="K808" s="1"/>
      <c r="L808" s="1"/>
      <c r="M808" s="1"/>
    </row>
    <row r="809" spans="11:13" ht="26.25" customHeight="1" x14ac:dyDescent="0.15">
      <c r="K809" s="1"/>
      <c r="L809" s="1"/>
      <c r="M809" s="1"/>
    </row>
    <row r="810" spans="11:13" ht="26.25" customHeight="1" x14ac:dyDescent="0.15">
      <c r="K810" s="1"/>
      <c r="L810" s="1"/>
      <c r="M810" s="1"/>
    </row>
    <row r="811" spans="11:13" ht="26.25" customHeight="1" x14ac:dyDescent="0.15">
      <c r="K811" s="1"/>
      <c r="L811" s="1"/>
      <c r="M811" s="1"/>
    </row>
    <row r="812" spans="11:13" ht="26.25" customHeight="1" x14ac:dyDescent="0.15">
      <c r="K812" s="1"/>
      <c r="L812" s="1"/>
      <c r="M812" s="1"/>
    </row>
    <row r="813" spans="11:13" ht="26.25" customHeight="1" x14ac:dyDescent="0.15">
      <c r="K813" s="1"/>
      <c r="L813" s="1"/>
      <c r="M813" s="1"/>
    </row>
    <row r="814" spans="11:13" ht="26.25" customHeight="1" x14ac:dyDescent="0.15">
      <c r="K814" s="1"/>
      <c r="L814" s="1"/>
      <c r="M814" s="1"/>
    </row>
    <row r="815" spans="11:13" ht="26.25" customHeight="1" x14ac:dyDescent="0.15">
      <c r="K815" s="1"/>
      <c r="L815" s="1"/>
      <c r="M815" s="1"/>
    </row>
    <row r="816" spans="11:13" ht="26.25" customHeight="1" x14ac:dyDescent="0.15">
      <c r="K816" s="1"/>
      <c r="L816" s="1"/>
      <c r="M816" s="1"/>
    </row>
    <row r="817" spans="11:13" ht="26.25" customHeight="1" x14ac:dyDescent="0.15">
      <c r="K817" s="1"/>
      <c r="L817" s="1"/>
      <c r="M817" s="1"/>
    </row>
    <row r="818" spans="11:13" ht="26.25" customHeight="1" x14ac:dyDescent="0.15">
      <c r="K818" s="1"/>
      <c r="L818" s="1"/>
      <c r="M818" s="1"/>
    </row>
    <row r="819" spans="11:13" ht="26.25" customHeight="1" x14ac:dyDescent="0.15">
      <c r="K819" s="1"/>
      <c r="L819" s="1"/>
      <c r="M819" s="1"/>
    </row>
    <row r="820" spans="11:13" ht="26.25" customHeight="1" x14ac:dyDescent="0.15">
      <c r="K820" s="1"/>
      <c r="L820" s="1"/>
      <c r="M820" s="1"/>
    </row>
    <row r="821" spans="11:13" ht="26.25" customHeight="1" x14ac:dyDescent="0.15">
      <c r="K821" s="1"/>
      <c r="L821" s="1"/>
      <c r="M821" s="1"/>
    </row>
    <row r="822" spans="11:13" ht="26.25" customHeight="1" x14ac:dyDescent="0.15">
      <c r="K822" s="1"/>
      <c r="L822" s="1"/>
      <c r="M822" s="1"/>
    </row>
    <row r="823" spans="11:13" ht="26.25" customHeight="1" x14ac:dyDescent="0.15">
      <c r="K823" s="1"/>
      <c r="L823" s="1"/>
      <c r="M823" s="1"/>
    </row>
    <row r="824" spans="11:13" ht="26.25" customHeight="1" x14ac:dyDescent="0.15">
      <c r="K824" s="1"/>
      <c r="L824" s="1"/>
      <c r="M824" s="1"/>
    </row>
    <row r="825" spans="11:13" ht="26.25" customHeight="1" x14ac:dyDescent="0.15">
      <c r="K825" s="1"/>
      <c r="L825" s="1"/>
      <c r="M825" s="1"/>
    </row>
    <row r="826" spans="11:13" ht="26.25" customHeight="1" x14ac:dyDescent="0.15">
      <c r="K826" s="1"/>
      <c r="L826" s="1"/>
      <c r="M826" s="1"/>
    </row>
    <row r="827" spans="11:13" ht="26.25" customHeight="1" x14ac:dyDescent="0.15">
      <c r="K827" s="1"/>
      <c r="L827" s="1"/>
      <c r="M827" s="1"/>
    </row>
    <row r="828" spans="11:13" ht="26.25" customHeight="1" x14ac:dyDescent="0.15">
      <c r="K828" s="1"/>
      <c r="L828" s="1"/>
      <c r="M828" s="1"/>
    </row>
    <row r="829" spans="11:13" ht="26.25" customHeight="1" x14ac:dyDescent="0.15">
      <c r="K829" s="1"/>
      <c r="L829" s="1"/>
      <c r="M829" s="1"/>
    </row>
    <row r="830" spans="11:13" ht="26.25" customHeight="1" x14ac:dyDescent="0.15">
      <c r="K830" s="1"/>
      <c r="L830" s="1"/>
      <c r="M830" s="1"/>
    </row>
    <row r="831" spans="11:13" ht="26.25" customHeight="1" x14ac:dyDescent="0.15">
      <c r="K831" s="1"/>
      <c r="L831" s="1"/>
      <c r="M831" s="1"/>
    </row>
    <row r="832" spans="11:13" ht="26.25" customHeight="1" x14ac:dyDescent="0.15">
      <c r="K832" s="1"/>
      <c r="L832" s="1"/>
      <c r="M832" s="1"/>
    </row>
    <row r="833" spans="11:13" ht="26.25" customHeight="1" x14ac:dyDescent="0.15">
      <c r="K833" s="1"/>
      <c r="L833" s="1"/>
      <c r="M833" s="1"/>
    </row>
    <row r="834" spans="11:13" ht="26.25" customHeight="1" x14ac:dyDescent="0.15">
      <c r="K834" s="1"/>
      <c r="L834" s="1"/>
      <c r="M834" s="1"/>
    </row>
    <row r="835" spans="11:13" ht="26.25" customHeight="1" x14ac:dyDescent="0.15">
      <c r="K835" s="1"/>
      <c r="L835" s="1"/>
      <c r="M835" s="1"/>
    </row>
    <row r="836" spans="11:13" ht="26.25" customHeight="1" x14ac:dyDescent="0.15">
      <c r="K836" s="1"/>
      <c r="L836" s="1"/>
      <c r="M836" s="1"/>
    </row>
    <row r="837" spans="11:13" ht="26.25" customHeight="1" x14ac:dyDescent="0.15">
      <c r="K837" s="1"/>
      <c r="L837" s="1"/>
      <c r="M837" s="1"/>
    </row>
    <row r="838" spans="11:13" ht="26.25" customHeight="1" x14ac:dyDescent="0.15">
      <c r="K838" s="1"/>
      <c r="L838" s="1"/>
      <c r="M838" s="1"/>
    </row>
    <row r="839" spans="11:13" ht="26.25" customHeight="1" x14ac:dyDescent="0.15">
      <c r="K839" s="1"/>
      <c r="L839" s="1"/>
      <c r="M839" s="1"/>
    </row>
    <row r="840" spans="11:13" ht="26.25" customHeight="1" x14ac:dyDescent="0.15">
      <c r="K840" s="1"/>
      <c r="L840" s="1"/>
      <c r="M840" s="1"/>
    </row>
    <row r="841" spans="11:13" ht="26.25" customHeight="1" x14ac:dyDescent="0.15">
      <c r="K841" s="1"/>
      <c r="L841" s="1"/>
      <c r="M841" s="1"/>
    </row>
    <row r="842" spans="11:13" ht="26.25" customHeight="1" x14ac:dyDescent="0.15">
      <c r="K842" s="1"/>
      <c r="L842" s="1"/>
      <c r="M842" s="1"/>
    </row>
    <row r="843" spans="11:13" ht="26.25" customHeight="1" x14ac:dyDescent="0.15">
      <c r="K843" s="1"/>
      <c r="L843" s="1"/>
      <c r="M843" s="1"/>
    </row>
    <row r="844" spans="11:13" ht="26.25" customHeight="1" x14ac:dyDescent="0.15">
      <c r="K844" s="1"/>
      <c r="L844" s="1"/>
      <c r="M844" s="1"/>
    </row>
    <row r="845" spans="11:13" ht="26.25" customHeight="1" x14ac:dyDescent="0.15">
      <c r="K845" s="1"/>
      <c r="L845" s="1"/>
      <c r="M845" s="1"/>
    </row>
    <row r="846" spans="11:13" ht="26.25" customHeight="1" x14ac:dyDescent="0.15">
      <c r="K846" s="1"/>
      <c r="L846" s="1"/>
      <c r="M846" s="1"/>
    </row>
    <row r="847" spans="11:13" ht="26.25" customHeight="1" x14ac:dyDescent="0.15">
      <c r="K847" s="1"/>
      <c r="L847" s="1"/>
      <c r="M847" s="1"/>
    </row>
    <row r="848" spans="11:13" ht="26.25" customHeight="1" x14ac:dyDescent="0.15">
      <c r="K848" s="1"/>
      <c r="L848" s="1"/>
      <c r="M848" s="1"/>
    </row>
    <row r="849" spans="11:13" ht="26.25" customHeight="1" x14ac:dyDescent="0.15">
      <c r="K849" s="1"/>
      <c r="L849" s="1"/>
      <c r="M849" s="1"/>
    </row>
    <row r="850" spans="11:13" ht="26.25" customHeight="1" x14ac:dyDescent="0.15">
      <c r="K850" s="1"/>
      <c r="L850" s="1"/>
      <c r="M850" s="1"/>
    </row>
    <row r="851" spans="11:13" ht="26.25" customHeight="1" x14ac:dyDescent="0.15">
      <c r="K851" s="1"/>
      <c r="L851" s="1"/>
      <c r="M851" s="1"/>
    </row>
    <row r="852" spans="11:13" ht="26.25" customHeight="1" x14ac:dyDescent="0.15">
      <c r="K852" s="1"/>
      <c r="L852" s="1"/>
      <c r="M852" s="1"/>
    </row>
    <row r="853" spans="11:13" ht="26.25" customHeight="1" x14ac:dyDescent="0.15">
      <c r="K853" s="1"/>
      <c r="L853" s="1"/>
      <c r="M853" s="1"/>
    </row>
    <row r="854" spans="11:13" ht="26.25" customHeight="1" x14ac:dyDescent="0.15">
      <c r="K854" s="1"/>
      <c r="L854" s="1"/>
      <c r="M854" s="1"/>
    </row>
    <row r="855" spans="11:13" ht="26.25" customHeight="1" x14ac:dyDescent="0.15">
      <c r="K855" s="1"/>
      <c r="L855" s="1"/>
      <c r="M855" s="1"/>
    </row>
    <row r="856" spans="11:13" ht="26.25" customHeight="1" x14ac:dyDescent="0.15">
      <c r="K856" s="1"/>
      <c r="L856" s="1"/>
      <c r="M856" s="1"/>
    </row>
    <row r="857" spans="11:13" ht="26.25" customHeight="1" x14ac:dyDescent="0.15">
      <c r="K857" s="1"/>
      <c r="L857" s="1"/>
      <c r="M857" s="1"/>
    </row>
    <row r="858" spans="11:13" ht="26.25" customHeight="1" x14ac:dyDescent="0.15">
      <c r="K858" s="1"/>
      <c r="L858" s="1"/>
      <c r="M858" s="1"/>
    </row>
    <row r="859" spans="11:13" ht="26.25" customHeight="1" x14ac:dyDescent="0.15">
      <c r="K859" s="1"/>
      <c r="L859" s="1"/>
      <c r="M859" s="1"/>
    </row>
    <row r="860" spans="11:13" ht="26.25" customHeight="1" x14ac:dyDescent="0.15">
      <c r="K860" s="1"/>
      <c r="L860" s="1"/>
      <c r="M860" s="1"/>
    </row>
    <row r="861" spans="11:13" ht="26.25" customHeight="1" x14ac:dyDescent="0.15">
      <c r="K861" s="1"/>
      <c r="L861" s="1"/>
      <c r="M861" s="1"/>
    </row>
    <row r="862" spans="11:13" ht="26.25" customHeight="1" x14ac:dyDescent="0.15">
      <c r="K862" s="1"/>
      <c r="L862" s="1"/>
      <c r="M862" s="1"/>
    </row>
    <row r="863" spans="11:13" ht="26.25" customHeight="1" x14ac:dyDescent="0.15">
      <c r="K863" s="1"/>
      <c r="L863" s="1"/>
      <c r="M863" s="1"/>
    </row>
    <row r="864" spans="11:13" ht="26.25" customHeight="1" x14ac:dyDescent="0.15">
      <c r="K864" s="1"/>
      <c r="L864" s="1"/>
      <c r="M864" s="1"/>
    </row>
    <row r="865" spans="11:13" ht="26.25" customHeight="1" x14ac:dyDescent="0.15">
      <c r="K865" s="1"/>
      <c r="L865" s="1"/>
      <c r="M865" s="1"/>
    </row>
    <row r="866" spans="11:13" ht="26.25" customHeight="1" x14ac:dyDescent="0.15">
      <c r="K866" s="1"/>
      <c r="L866" s="1"/>
      <c r="M866" s="1"/>
    </row>
    <row r="867" spans="11:13" ht="26.25" customHeight="1" x14ac:dyDescent="0.15">
      <c r="K867" s="1"/>
      <c r="L867" s="1"/>
      <c r="M867" s="1"/>
    </row>
    <row r="868" spans="11:13" ht="26.25" customHeight="1" x14ac:dyDescent="0.15">
      <c r="K868" s="1"/>
      <c r="L868" s="1"/>
      <c r="M868" s="1"/>
    </row>
    <row r="869" spans="11:13" ht="26.25" customHeight="1" x14ac:dyDescent="0.15">
      <c r="K869" s="1"/>
      <c r="L869" s="1"/>
      <c r="M869" s="1"/>
    </row>
    <row r="870" spans="11:13" ht="26.25" customHeight="1" x14ac:dyDescent="0.15">
      <c r="K870" s="1"/>
      <c r="L870" s="1"/>
      <c r="M870" s="1"/>
    </row>
    <row r="871" spans="11:13" ht="26.25" customHeight="1" x14ac:dyDescent="0.15">
      <c r="K871" s="1"/>
      <c r="L871" s="1"/>
      <c r="M871" s="1"/>
    </row>
    <row r="872" spans="11:13" ht="26.25" customHeight="1" x14ac:dyDescent="0.15">
      <c r="K872" s="1"/>
      <c r="L872" s="1"/>
      <c r="M872" s="1"/>
    </row>
    <row r="873" spans="11:13" ht="26.25" customHeight="1" x14ac:dyDescent="0.15">
      <c r="K873" s="1"/>
      <c r="L873" s="1"/>
      <c r="M873" s="1"/>
    </row>
    <row r="874" spans="11:13" ht="26.25" customHeight="1" x14ac:dyDescent="0.15">
      <c r="K874" s="1"/>
      <c r="L874" s="1"/>
      <c r="M874" s="1"/>
    </row>
    <row r="875" spans="11:13" ht="26.25" customHeight="1" x14ac:dyDescent="0.15">
      <c r="K875" s="1"/>
      <c r="L875" s="1"/>
      <c r="M875" s="1"/>
    </row>
    <row r="876" spans="11:13" ht="26.25" customHeight="1" x14ac:dyDescent="0.15">
      <c r="K876" s="1"/>
      <c r="L876" s="1"/>
      <c r="M876" s="1"/>
    </row>
    <row r="877" spans="11:13" ht="26.25" customHeight="1" x14ac:dyDescent="0.15">
      <c r="K877" s="1"/>
      <c r="L877" s="1"/>
      <c r="M877" s="1"/>
    </row>
    <row r="878" spans="11:13" ht="26.25" customHeight="1" x14ac:dyDescent="0.15">
      <c r="K878" s="1"/>
      <c r="L878" s="1"/>
      <c r="M878" s="1"/>
    </row>
    <row r="879" spans="11:13" ht="26.25" customHeight="1" x14ac:dyDescent="0.15">
      <c r="K879" s="1"/>
      <c r="L879" s="1"/>
      <c r="M879" s="1"/>
    </row>
    <row r="880" spans="11:13" ht="26.25" customHeight="1" x14ac:dyDescent="0.15">
      <c r="K880" s="1"/>
      <c r="L880" s="1"/>
      <c r="M880" s="1"/>
    </row>
    <row r="881" spans="11:13" ht="26.25" customHeight="1" x14ac:dyDescent="0.15">
      <c r="K881" s="1"/>
      <c r="L881" s="1"/>
      <c r="M881" s="1"/>
    </row>
    <row r="882" spans="11:13" ht="26.25" customHeight="1" x14ac:dyDescent="0.15">
      <c r="K882" s="1"/>
      <c r="L882" s="1"/>
      <c r="M882" s="1"/>
    </row>
    <row r="883" spans="11:13" ht="26.25" customHeight="1" x14ac:dyDescent="0.15">
      <c r="K883" s="1"/>
      <c r="L883" s="1"/>
      <c r="M883" s="1"/>
    </row>
    <row r="884" spans="11:13" ht="26.25" customHeight="1" x14ac:dyDescent="0.15">
      <c r="K884" s="1"/>
      <c r="L884" s="1"/>
      <c r="M884" s="1"/>
    </row>
    <row r="885" spans="11:13" ht="26.25" customHeight="1" x14ac:dyDescent="0.15">
      <c r="K885" s="1"/>
      <c r="L885" s="1"/>
      <c r="M885" s="1"/>
    </row>
    <row r="886" spans="11:13" ht="26.25" customHeight="1" x14ac:dyDescent="0.15">
      <c r="K886" s="1"/>
      <c r="L886" s="1"/>
      <c r="M886" s="1"/>
    </row>
    <row r="887" spans="11:13" ht="26.25" customHeight="1" x14ac:dyDescent="0.15">
      <c r="K887" s="1"/>
      <c r="L887" s="1"/>
      <c r="M887" s="1"/>
    </row>
    <row r="888" spans="11:13" ht="26.25" customHeight="1" x14ac:dyDescent="0.15">
      <c r="K888" s="1"/>
      <c r="L888" s="1"/>
      <c r="M888" s="1"/>
    </row>
    <row r="889" spans="11:13" ht="26.25" customHeight="1" x14ac:dyDescent="0.15">
      <c r="K889" s="1"/>
      <c r="L889" s="1"/>
      <c r="M889" s="1"/>
    </row>
    <row r="890" spans="11:13" ht="26.25" customHeight="1" x14ac:dyDescent="0.15">
      <c r="K890" s="1"/>
      <c r="L890" s="1"/>
      <c r="M890" s="1"/>
    </row>
    <row r="891" spans="11:13" ht="26.25" customHeight="1" x14ac:dyDescent="0.15">
      <c r="K891" s="1"/>
      <c r="L891" s="1"/>
      <c r="M891" s="1"/>
    </row>
    <row r="892" spans="11:13" ht="26.25" customHeight="1" x14ac:dyDescent="0.15">
      <c r="K892" s="1"/>
      <c r="L892" s="1"/>
      <c r="M892" s="1"/>
    </row>
    <row r="893" spans="11:13" ht="26.25" customHeight="1" x14ac:dyDescent="0.15">
      <c r="K893" s="1"/>
      <c r="L893" s="1"/>
      <c r="M893" s="1"/>
    </row>
    <row r="894" spans="11:13" ht="26.25" customHeight="1" x14ac:dyDescent="0.15">
      <c r="K894" s="1"/>
      <c r="L894" s="1"/>
      <c r="M894" s="1"/>
    </row>
    <row r="895" spans="11:13" ht="26.25" customHeight="1" x14ac:dyDescent="0.15">
      <c r="K895" s="1"/>
      <c r="L895" s="1"/>
      <c r="M895" s="1"/>
    </row>
    <row r="896" spans="11:13" ht="26.25" customHeight="1" x14ac:dyDescent="0.15">
      <c r="K896" s="1"/>
      <c r="L896" s="1"/>
      <c r="M896" s="1"/>
    </row>
    <row r="897" spans="11:13" ht="26.25" customHeight="1" x14ac:dyDescent="0.15">
      <c r="K897" s="1"/>
      <c r="L897" s="1"/>
      <c r="M897" s="1"/>
    </row>
    <row r="898" spans="11:13" ht="26.25" customHeight="1" x14ac:dyDescent="0.15">
      <c r="K898" s="1"/>
      <c r="L898" s="1"/>
      <c r="M898" s="1"/>
    </row>
    <row r="899" spans="11:13" ht="26.25" customHeight="1" x14ac:dyDescent="0.15">
      <c r="K899" s="1"/>
      <c r="L899" s="1"/>
      <c r="M899" s="1"/>
    </row>
    <row r="900" spans="11:13" ht="26.25" customHeight="1" x14ac:dyDescent="0.15">
      <c r="K900" s="1"/>
      <c r="L900" s="1"/>
      <c r="M900" s="1"/>
    </row>
    <row r="901" spans="11:13" ht="26.25" customHeight="1" x14ac:dyDescent="0.15">
      <c r="K901" s="1"/>
      <c r="L901" s="1"/>
      <c r="M901" s="1"/>
    </row>
    <row r="902" spans="11:13" ht="26.25" customHeight="1" x14ac:dyDescent="0.15">
      <c r="K902" s="1"/>
      <c r="L902" s="1"/>
      <c r="M902" s="1"/>
    </row>
    <row r="903" spans="11:13" ht="26.25" customHeight="1" x14ac:dyDescent="0.15">
      <c r="K903" s="1"/>
      <c r="L903" s="1"/>
      <c r="M903" s="1"/>
    </row>
    <row r="904" spans="11:13" ht="26.25" customHeight="1" x14ac:dyDescent="0.15">
      <c r="K904" s="1"/>
      <c r="L904" s="1"/>
      <c r="M904" s="1"/>
    </row>
    <row r="905" spans="11:13" ht="26.25" customHeight="1" x14ac:dyDescent="0.15">
      <c r="K905" s="1"/>
      <c r="L905" s="1"/>
      <c r="M905" s="1"/>
    </row>
    <row r="906" spans="11:13" ht="26.25" customHeight="1" x14ac:dyDescent="0.15">
      <c r="K906" s="1"/>
      <c r="L906" s="1"/>
      <c r="M906" s="1"/>
    </row>
    <row r="907" spans="11:13" ht="26.25" customHeight="1" x14ac:dyDescent="0.15">
      <c r="K907" s="1"/>
      <c r="L907" s="1"/>
      <c r="M907" s="1"/>
    </row>
    <row r="908" spans="11:13" ht="26.25" customHeight="1" x14ac:dyDescent="0.15">
      <c r="K908" s="1"/>
      <c r="L908" s="1"/>
      <c r="M908" s="1"/>
    </row>
    <row r="909" spans="11:13" ht="26.25" customHeight="1" x14ac:dyDescent="0.15">
      <c r="K909" s="1"/>
      <c r="L909" s="1"/>
      <c r="M909" s="1"/>
    </row>
    <row r="910" spans="11:13" ht="26.25" customHeight="1" x14ac:dyDescent="0.15">
      <c r="K910" s="1"/>
      <c r="L910" s="1"/>
      <c r="M910" s="1"/>
    </row>
    <row r="911" spans="11:13" ht="26.25" customHeight="1" x14ac:dyDescent="0.15">
      <c r="K911" s="1"/>
      <c r="L911" s="1"/>
      <c r="M911" s="1"/>
    </row>
    <row r="912" spans="11:13" ht="26.25" customHeight="1" x14ac:dyDescent="0.15">
      <c r="K912" s="1"/>
      <c r="L912" s="1"/>
      <c r="M912" s="1"/>
    </row>
    <row r="913" spans="11:13" ht="26.25" customHeight="1" x14ac:dyDescent="0.15">
      <c r="K913" s="1"/>
      <c r="L913" s="1"/>
      <c r="M913" s="1"/>
    </row>
    <row r="914" spans="11:13" ht="26.25" customHeight="1" x14ac:dyDescent="0.15">
      <c r="K914" s="1"/>
      <c r="L914" s="1"/>
      <c r="M914" s="1"/>
    </row>
    <row r="915" spans="11:13" ht="26.25" customHeight="1" x14ac:dyDescent="0.15">
      <c r="K915" s="1"/>
      <c r="L915" s="1"/>
      <c r="M915" s="1"/>
    </row>
    <row r="916" spans="11:13" ht="26.25" customHeight="1" x14ac:dyDescent="0.15">
      <c r="K916" s="1"/>
      <c r="L916" s="1"/>
      <c r="M916" s="1"/>
    </row>
    <row r="917" spans="11:13" ht="26.25" customHeight="1" x14ac:dyDescent="0.15">
      <c r="K917" s="1"/>
      <c r="L917" s="1"/>
      <c r="M917" s="1"/>
    </row>
    <row r="918" spans="11:13" ht="26.25" customHeight="1" x14ac:dyDescent="0.15">
      <c r="K918" s="1"/>
      <c r="L918" s="1"/>
      <c r="M918" s="1"/>
    </row>
    <row r="919" spans="11:13" ht="26.25" customHeight="1" x14ac:dyDescent="0.15">
      <c r="K919" s="1"/>
      <c r="L919" s="1"/>
      <c r="M919" s="1"/>
    </row>
    <row r="920" spans="11:13" ht="26.25" customHeight="1" x14ac:dyDescent="0.15">
      <c r="K920" s="1"/>
      <c r="L920" s="1"/>
      <c r="M920" s="1"/>
    </row>
    <row r="921" spans="11:13" ht="26.25" customHeight="1" x14ac:dyDescent="0.15">
      <c r="K921" s="1"/>
      <c r="L921" s="1"/>
      <c r="M921" s="1"/>
    </row>
    <row r="922" spans="11:13" ht="26.25" customHeight="1" x14ac:dyDescent="0.15">
      <c r="K922" s="1"/>
      <c r="L922" s="1"/>
      <c r="M922" s="1"/>
    </row>
    <row r="923" spans="11:13" ht="26.25" customHeight="1" x14ac:dyDescent="0.15">
      <c r="K923" s="1"/>
      <c r="L923" s="1"/>
      <c r="M923" s="1"/>
    </row>
    <row r="924" spans="11:13" ht="26.25" customHeight="1" x14ac:dyDescent="0.15">
      <c r="K924" s="1"/>
      <c r="L924" s="1"/>
      <c r="M924" s="1"/>
    </row>
    <row r="925" spans="11:13" ht="26.25" customHeight="1" x14ac:dyDescent="0.15">
      <c r="K925" s="1"/>
      <c r="L925" s="1"/>
      <c r="M925" s="1"/>
    </row>
    <row r="926" spans="11:13" ht="26.25" customHeight="1" x14ac:dyDescent="0.15">
      <c r="K926" s="1"/>
      <c r="L926" s="1"/>
      <c r="M926" s="1"/>
    </row>
    <row r="927" spans="11:13" ht="26.25" customHeight="1" x14ac:dyDescent="0.15">
      <c r="K927" s="1"/>
      <c r="L927" s="1"/>
      <c r="M927" s="1"/>
    </row>
    <row r="928" spans="11:13" ht="26.25" customHeight="1" x14ac:dyDescent="0.15">
      <c r="K928" s="1"/>
      <c r="L928" s="1"/>
      <c r="M928" s="1"/>
    </row>
    <row r="929" spans="11:13" ht="26.25" customHeight="1" x14ac:dyDescent="0.15">
      <c r="K929" s="1"/>
      <c r="L929" s="1"/>
      <c r="M929" s="1"/>
    </row>
    <row r="930" spans="11:13" ht="26.25" customHeight="1" x14ac:dyDescent="0.15">
      <c r="K930" s="1"/>
      <c r="L930" s="1"/>
      <c r="M930" s="1"/>
    </row>
    <row r="931" spans="11:13" ht="26.25" customHeight="1" x14ac:dyDescent="0.15">
      <c r="K931" s="1"/>
      <c r="L931" s="1"/>
      <c r="M931" s="1"/>
    </row>
    <row r="932" spans="11:13" ht="26.25" customHeight="1" x14ac:dyDescent="0.15">
      <c r="K932" s="1"/>
      <c r="L932" s="1"/>
      <c r="M932" s="1"/>
    </row>
    <row r="933" spans="11:13" ht="26.25" customHeight="1" x14ac:dyDescent="0.15">
      <c r="K933" s="1"/>
      <c r="L933" s="1"/>
      <c r="M933" s="1"/>
    </row>
    <row r="934" spans="11:13" ht="26.25" customHeight="1" x14ac:dyDescent="0.15">
      <c r="K934" s="1"/>
      <c r="L934" s="1"/>
      <c r="M934" s="1"/>
    </row>
    <row r="935" spans="11:13" ht="26.25" customHeight="1" x14ac:dyDescent="0.15">
      <c r="K935" s="1"/>
      <c r="L935" s="1"/>
      <c r="M935" s="1"/>
    </row>
    <row r="936" spans="11:13" ht="26.25" customHeight="1" x14ac:dyDescent="0.15">
      <c r="K936" s="1"/>
      <c r="L936" s="1"/>
      <c r="M936" s="1"/>
    </row>
    <row r="937" spans="11:13" ht="26.25" customHeight="1" x14ac:dyDescent="0.15">
      <c r="K937" s="1"/>
      <c r="L937" s="1"/>
      <c r="M937" s="1"/>
    </row>
    <row r="938" spans="11:13" ht="26.25" customHeight="1" x14ac:dyDescent="0.15">
      <c r="K938" s="1"/>
      <c r="L938" s="1"/>
      <c r="M938" s="1"/>
    </row>
    <row r="939" spans="11:13" ht="26.25" customHeight="1" x14ac:dyDescent="0.15">
      <c r="K939" s="1"/>
      <c r="L939" s="1"/>
      <c r="M939" s="1"/>
    </row>
    <row r="940" spans="11:13" ht="26.25" customHeight="1" x14ac:dyDescent="0.15">
      <c r="K940" s="1"/>
      <c r="L940" s="1"/>
      <c r="M940" s="1"/>
    </row>
    <row r="941" spans="11:13" ht="26.25" customHeight="1" x14ac:dyDescent="0.15">
      <c r="K941" s="1"/>
      <c r="L941" s="1"/>
      <c r="M941" s="1"/>
    </row>
    <row r="942" spans="11:13" ht="26.25" customHeight="1" x14ac:dyDescent="0.15">
      <c r="K942" s="1"/>
      <c r="L942" s="1"/>
      <c r="M942" s="1"/>
    </row>
    <row r="943" spans="11:13" ht="26.25" customHeight="1" x14ac:dyDescent="0.15">
      <c r="K943" s="1"/>
      <c r="L943" s="1"/>
      <c r="M943" s="1"/>
    </row>
    <row r="944" spans="11:13" ht="26.25" customHeight="1" x14ac:dyDescent="0.15">
      <c r="K944" s="1"/>
      <c r="L944" s="1"/>
      <c r="M944" s="1"/>
    </row>
    <row r="945" spans="11:13" ht="26.25" customHeight="1" x14ac:dyDescent="0.15">
      <c r="K945" s="1"/>
      <c r="L945" s="1"/>
      <c r="M945" s="1"/>
    </row>
    <row r="946" spans="11:13" ht="26.25" customHeight="1" x14ac:dyDescent="0.15">
      <c r="K946" s="1"/>
      <c r="L946" s="1"/>
      <c r="M946" s="1"/>
    </row>
    <row r="947" spans="11:13" ht="26.25" customHeight="1" x14ac:dyDescent="0.15">
      <c r="K947" s="1"/>
      <c r="L947" s="1"/>
      <c r="M947" s="1"/>
    </row>
    <row r="948" spans="11:13" ht="26.25" customHeight="1" x14ac:dyDescent="0.15">
      <c r="K948" s="1"/>
      <c r="L948" s="1"/>
      <c r="M948" s="1"/>
    </row>
    <row r="949" spans="11:13" ht="26.25" customHeight="1" x14ac:dyDescent="0.15">
      <c r="K949" s="1"/>
      <c r="L949" s="1"/>
      <c r="M949" s="1"/>
    </row>
    <row r="950" spans="11:13" ht="26.25" customHeight="1" x14ac:dyDescent="0.15">
      <c r="K950" s="1"/>
      <c r="L950" s="1"/>
      <c r="M950" s="1"/>
    </row>
    <row r="951" spans="11:13" ht="26.25" customHeight="1" x14ac:dyDescent="0.15">
      <c r="K951" s="1"/>
      <c r="L951" s="1"/>
      <c r="M951" s="1"/>
    </row>
    <row r="952" spans="11:13" ht="26.25" customHeight="1" x14ac:dyDescent="0.15">
      <c r="K952" s="1"/>
      <c r="L952" s="1"/>
      <c r="M952" s="1"/>
    </row>
    <row r="953" spans="11:13" ht="26.25" customHeight="1" x14ac:dyDescent="0.15">
      <c r="K953" s="1"/>
      <c r="L953" s="1"/>
      <c r="M953" s="1"/>
    </row>
    <row r="954" spans="11:13" ht="26.25" customHeight="1" x14ac:dyDescent="0.15">
      <c r="K954" s="1"/>
      <c r="L954" s="1"/>
      <c r="M954" s="1"/>
    </row>
    <row r="955" spans="11:13" ht="26.25" customHeight="1" x14ac:dyDescent="0.15">
      <c r="K955" s="1"/>
      <c r="L955" s="1"/>
      <c r="M955" s="1"/>
    </row>
    <row r="956" spans="11:13" ht="26.25" customHeight="1" x14ac:dyDescent="0.15">
      <c r="K956" s="1"/>
      <c r="L956" s="1"/>
      <c r="M956" s="1"/>
    </row>
    <row r="957" spans="11:13" ht="26.25" customHeight="1" x14ac:dyDescent="0.15">
      <c r="K957" s="1"/>
      <c r="L957" s="1"/>
      <c r="M957" s="1"/>
    </row>
    <row r="958" spans="11:13" ht="26.25" customHeight="1" x14ac:dyDescent="0.15">
      <c r="K958" s="1"/>
      <c r="L958" s="1"/>
      <c r="M958" s="1"/>
    </row>
    <row r="959" spans="11:13" ht="26.25" customHeight="1" x14ac:dyDescent="0.15">
      <c r="K959" s="1"/>
      <c r="L959" s="1"/>
      <c r="M959" s="1"/>
    </row>
    <row r="960" spans="11:13" ht="26.25" customHeight="1" x14ac:dyDescent="0.15">
      <c r="K960" s="1"/>
      <c r="L960" s="1"/>
      <c r="M960" s="1"/>
    </row>
    <row r="961" spans="11:13" ht="26.25" customHeight="1" x14ac:dyDescent="0.15">
      <c r="K961" s="1"/>
      <c r="L961" s="1"/>
      <c r="M961" s="1"/>
    </row>
    <row r="962" spans="11:13" ht="26.25" customHeight="1" x14ac:dyDescent="0.15">
      <c r="K962" s="1"/>
      <c r="L962" s="1"/>
      <c r="M962" s="1"/>
    </row>
    <row r="963" spans="11:13" ht="26.25" customHeight="1" x14ac:dyDescent="0.15">
      <c r="K963" s="1"/>
      <c r="L963" s="1"/>
      <c r="M963" s="1"/>
    </row>
    <row r="964" spans="11:13" ht="26.25" customHeight="1" x14ac:dyDescent="0.15">
      <c r="K964" s="1"/>
      <c r="L964" s="1"/>
      <c r="M964" s="1"/>
    </row>
    <row r="965" spans="11:13" ht="26.25" customHeight="1" x14ac:dyDescent="0.15">
      <c r="K965" s="1"/>
      <c r="L965" s="1"/>
      <c r="M965" s="1"/>
    </row>
    <row r="966" spans="11:13" ht="26.25" customHeight="1" x14ac:dyDescent="0.15">
      <c r="K966" s="1"/>
      <c r="L966" s="1"/>
      <c r="M966" s="1"/>
    </row>
    <row r="967" spans="11:13" ht="26.25" customHeight="1" x14ac:dyDescent="0.15">
      <c r="K967" s="1"/>
      <c r="L967" s="1"/>
      <c r="M967" s="1"/>
    </row>
    <row r="968" spans="11:13" ht="26.25" customHeight="1" x14ac:dyDescent="0.15">
      <c r="K968" s="1"/>
      <c r="L968" s="1"/>
      <c r="M968" s="1"/>
    </row>
    <row r="969" spans="11:13" ht="26.25" customHeight="1" x14ac:dyDescent="0.15">
      <c r="K969" s="1"/>
      <c r="L969" s="1"/>
      <c r="M969" s="1"/>
    </row>
    <row r="970" spans="11:13" ht="26.25" customHeight="1" x14ac:dyDescent="0.15">
      <c r="K970" s="1"/>
      <c r="L970" s="1"/>
      <c r="M970" s="1"/>
    </row>
    <row r="971" spans="11:13" ht="26.25" customHeight="1" x14ac:dyDescent="0.15">
      <c r="K971" s="1"/>
      <c r="L971" s="1"/>
      <c r="M971" s="1"/>
    </row>
    <row r="972" spans="11:13" ht="26.25" customHeight="1" x14ac:dyDescent="0.15">
      <c r="K972" s="1"/>
      <c r="L972" s="1"/>
      <c r="M972" s="1"/>
    </row>
    <row r="973" spans="11:13" ht="26.25" customHeight="1" x14ac:dyDescent="0.15">
      <c r="K973" s="1"/>
      <c r="L973" s="1"/>
      <c r="M973" s="1"/>
    </row>
    <row r="974" spans="11:13" ht="26.25" customHeight="1" x14ac:dyDescent="0.15">
      <c r="K974" s="1"/>
      <c r="L974" s="1"/>
      <c r="M974" s="1"/>
    </row>
    <row r="975" spans="11:13" ht="26.25" customHeight="1" x14ac:dyDescent="0.15">
      <c r="K975" s="1"/>
      <c r="L975" s="1"/>
      <c r="M975" s="1"/>
    </row>
    <row r="976" spans="11:13" ht="26.25" customHeight="1" x14ac:dyDescent="0.15">
      <c r="K976" s="1"/>
      <c r="L976" s="1"/>
      <c r="M976" s="1"/>
    </row>
    <row r="977" spans="11:13" ht="26.25" customHeight="1" x14ac:dyDescent="0.15">
      <c r="K977" s="1"/>
      <c r="L977" s="1"/>
      <c r="M977" s="1"/>
    </row>
    <row r="978" spans="11:13" ht="26.25" customHeight="1" x14ac:dyDescent="0.15">
      <c r="K978" s="1"/>
      <c r="L978" s="1"/>
      <c r="M978" s="1"/>
    </row>
    <row r="979" spans="11:13" ht="26.25" customHeight="1" x14ac:dyDescent="0.15">
      <c r="K979" s="1"/>
      <c r="L979" s="1"/>
      <c r="M979" s="1"/>
    </row>
    <row r="980" spans="11:13" ht="26.25" customHeight="1" x14ac:dyDescent="0.15">
      <c r="K980" s="1"/>
      <c r="L980" s="1"/>
      <c r="M980" s="1"/>
    </row>
    <row r="981" spans="11:13" ht="26.25" customHeight="1" x14ac:dyDescent="0.15">
      <c r="K981" s="1"/>
      <c r="L981" s="1"/>
      <c r="M981" s="1"/>
    </row>
    <row r="982" spans="11:13" ht="26.25" customHeight="1" x14ac:dyDescent="0.15">
      <c r="K982" s="1"/>
      <c r="L982" s="1"/>
      <c r="M982" s="1"/>
    </row>
    <row r="983" spans="11:13" ht="26.25" customHeight="1" x14ac:dyDescent="0.15">
      <c r="K983" s="1"/>
      <c r="L983" s="1"/>
      <c r="M983" s="1"/>
    </row>
    <row r="984" spans="11:13" ht="26.25" customHeight="1" x14ac:dyDescent="0.15">
      <c r="K984" s="1"/>
      <c r="L984" s="1"/>
      <c r="M984" s="1"/>
    </row>
    <row r="985" spans="11:13" ht="26.25" customHeight="1" x14ac:dyDescent="0.15">
      <c r="K985" s="1"/>
      <c r="L985" s="1"/>
      <c r="M985" s="1"/>
    </row>
    <row r="986" spans="11:13" ht="26.25" customHeight="1" x14ac:dyDescent="0.15">
      <c r="K986" s="1"/>
      <c r="L986" s="1"/>
      <c r="M986" s="1"/>
    </row>
    <row r="987" spans="11:13" ht="26.25" customHeight="1" x14ac:dyDescent="0.15">
      <c r="K987" s="1"/>
      <c r="L987" s="1"/>
      <c r="M987" s="1"/>
    </row>
    <row r="988" spans="11:13" ht="26.25" customHeight="1" x14ac:dyDescent="0.15">
      <c r="K988" s="1"/>
      <c r="L988" s="1"/>
      <c r="M988" s="1"/>
    </row>
    <row r="989" spans="11:13" ht="26.25" customHeight="1" x14ac:dyDescent="0.15">
      <c r="K989" s="1"/>
      <c r="L989" s="1"/>
      <c r="M989" s="1"/>
    </row>
    <row r="990" spans="11:13" ht="26.25" customHeight="1" x14ac:dyDescent="0.15">
      <c r="K990" s="1"/>
      <c r="L990" s="1"/>
      <c r="M990" s="1"/>
    </row>
    <row r="991" spans="11:13" ht="26.25" customHeight="1" x14ac:dyDescent="0.15">
      <c r="K991" s="1"/>
      <c r="L991" s="1"/>
      <c r="M991" s="1"/>
    </row>
    <row r="992" spans="11:13" ht="26.25" customHeight="1" x14ac:dyDescent="0.15">
      <c r="K992" s="1"/>
      <c r="L992" s="1"/>
      <c r="M992" s="1"/>
    </row>
    <row r="993" spans="11:13" ht="26.25" customHeight="1" x14ac:dyDescent="0.15">
      <c r="K993" s="1"/>
      <c r="L993" s="1"/>
      <c r="M993" s="1"/>
    </row>
    <row r="994" spans="11:13" ht="26.25" customHeight="1" x14ac:dyDescent="0.15">
      <c r="K994" s="1"/>
      <c r="L994" s="1"/>
      <c r="M994" s="1"/>
    </row>
    <row r="995" spans="11:13" ht="26.25" customHeight="1" x14ac:dyDescent="0.15">
      <c r="K995" s="1"/>
      <c r="L995" s="1"/>
      <c r="M995" s="1"/>
    </row>
  </sheetData>
  <mergeCells count="7">
    <mergeCell ref="J4:K4"/>
    <mergeCell ref="L4:M4"/>
    <mergeCell ref="B14:C14"/>
    <mergeCell ref="B13:C13"/>
    <mergeCell ref="B4:C4"/>
    <mergeCell ref="F4:G4"/>
    <mergeCell ref="H4:I4"/>
  </mergeCell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 Slabbert</cp:lastModifiedBy>
  <dcterms:created xsi:type="dcterms:W3CDTF">2016-02-17T12:47:36Z</dcterms:created>
  <dcterms:modified xsi:type="dcterms:W3CDTF">2026-02-10T20:28:43Z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TC029300409991</vt:lpwstr>
  </property>
</Properties>
</file>